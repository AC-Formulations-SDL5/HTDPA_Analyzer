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6" documentId="8_{38F8E6B9-A9A8-5047-90E4-2BA20C3E1D29}" xr6:coauthVersionLast="47" xr6:coauthVersionMax="47" xr10:uidLastSave="{939CBFA2-A149-7C4B-9301-17918C991C66}"/>
  <bookViews>
    <workbookView xWindow="5760" yWindow="-22500" windowWidth="36000" windowHeight="21000" activeTab="4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B5" i="5"/>
  <c r="B5" i="2"/>
  <c r="B18" i="2" s="1"/>
  <c r="C6" i="3" s="1"/>
  <c r="C6" i="4" s="1"/>
  <c r="C5" i="2"/>
  <c r="C18" i="2" s="1"/>
  <c r="D6" i="3" s="1"/>
  <c r="D6" i="4" s="1"/>
  <c r="D5" i="2"/>
  <c r="D18" i="2" s="1"/>
  <c r="E6" i="3" s="1"/>
  <c r="E6" i="4" s="1"/>
  <c r="E5" i="2"/>
  <c r="E18" i="2" s="1"/>
  <c r="F6" i="3" s="1"/>
  <c r="F6" i="4" s="1"/>
  <c r="F5" i="2"/>
  <c r="F18" i="2" s="1"/>
  <c r="G6" i="3" s="1"/>
  <c r="G6" i="4" s="1"/>
  <c r="G5" i="2"/>
  <c r="G18" i="2" s="1"/>
  <c r="H6" i="3" s="1"/>
  <c r="H6" i="4" s="1"/>
  <c r="H5" i="2"/>
  <c r="H18" i="2" s="1"/>
  <c r="I6" i="3" s="1"/>
  <c r="I6" i="4" s="1"/>
  <c r="I5" i="2"/>
  <c r="I18" i="2" s="1"/>
  <c r="J6" i="3" s="1"/>
  <c r="J6" i="4" s="1"/>
  <c r="J5" i="2"/>
  <c r="J18" i="2" s="1"/>
  <c r="K6" i="3" s="1"/>
  <c r="K6" i="4" s="1"/>
  <c r="K5" i="2"/>
  <c r="K18" i="2" s="1"/>
  <c r="L6" i="3" s="1"/>
  <c r="L6" i="4" s="1"/>
  <c r="L5" i="2"/>
  <c r="L18" i="2" s="1"/>
  <c r="M6" i="3" s="1"/>
  <c r="M5" i="2"/>
  <c r="M18" i="2" s="1"/>
  <c r="N6" i="3" s="1"/>
  <c r="N6" i="4" s="1"/>
  <c r="B6" i="2"/>
  <c r="B19" i="2" s="1"/>
  <c r="C7" i="3" s="1"/>
  <c r="C7" i="4" s="1"/>
  <c r="C6" i="2"/>
  <c r="C19" i="2" s="1"/>
  <c r="D7" i="3" s="1"/>
  <c r="D7" i="4" s="1"/>
  <c r="D6" i="2"/>
  <c r="D19" i="2" s="1"/>
  <c r="E7" i="3" s="1"/>
  <c r="E7" i="4" s="1"/>
  <c r="E6" i="2"/>
  <c r="E19" i="2" s="1"/>
  <c r="F7" i="3" s="1"/>
  <c r="F7" i="4" s="1"/>
  <c r="F6" i="2"/>
  <c r="F19" i="2" s="1"/>
  <c r="G7" i="3" s="1"/>
  <c r="G7" i="4" s="1"/>
  <c r="G6" i="2"/>
  <c r="G19" i="2" s="1"/>
  <c r="H7" i="3" s="1"/>
  <c r="H7" i="4" s="1"/>
  <c r="H6" i="2"/>
  <c r="H19" i="2" s="1"/>
  <c r="I7" i="3" s="1"/>
  <c r="I7" i="4" s="1"/>
  <c r="I6" i="2"/>
  <c r="I19" i="2" s="1"/>
  <c r="J7" i="3" s="1"/>
  <c r="J7" i="4" s="1"/>
  <c r="J6" i="2"/>
  <c r="J19" i="2" s="1"/>
  <c r="K7" i="3" s="1"/>
  <c r="K6" i="2"/>
  <c r="K19" i="2" s="1"/>
  <c r="L7" i="3" s="1"/>
  <c r="L7" i="4" s="1"/>
  <c r="L6" i="2"/>
  <c r="L19" i="2" s="1"/>
  <c r="M7" i="3" s="1"/>
  <c r="M7" i="4" s="1"/>
  <c r="M6" i="2"/>
  <c r="M19" i="2" s="1"/>
  <c r="N7" i="3" s="1"/>
  <c r="N7" i="4" s="1"/>
  <c r="B7" i="2"/>
  <c r="B20" i="2" s="1"/>
  <c r="C8" i="3" s="1"/>
  <c r="C8" i="4" s="1"/>
  <c r="C7" i="2"/>
  <c r="C20" i="2" s="1"/>
  <c r="D8" i="3" s="1"/>
  <c r="D8" i="4" s="1"/>
  <c r="D7" i="2"/>
  <c r="D20" i="2" s="1"/>
  <c r="E8" i="3" s="1"/>
  <c r="E8" i="4" s="1"/>
  <c r="E7" i="2"/>
  <c r="E20" i="2" s="1"/>
  <c r="F8" i="3" s="1"/>
  <c r="F8" i="4" s="1"/>
  <c r="F7" i="2"/>
  <c r="F20" i="2" s="1"/>
  <c r="G8" i="3" s="1"/>
  <c r="G8" i="4" s="1"/>
  <c r="G7" i="2"/>
  <c r="G20" i="2" s="1"/>
  <c r="H8" i="3" s="1"/>
  <c r="H8" i="4" s="1"/>
  <c r="H7" i="2"/>
  <c r="H20" i="2" s="1"/>
  <c r="I8" i="3" s="1"/>
  <c r="I7" i="2"/>
  <c r="I20" i="2" s="1"/>
  <c r="J8" i="3" s="1"/>
  <c r="J8" i="4" s="1"/>
  <c r="J7" i="2"/>
  <c r="J20" i="2" s="1"/>
  <c r="K8" i="3" s="1"/>
  <c r="K8" i="4" s="1"/>
  <c r="K7" i="2"/>
  <c r="K20" i="2" s="1"/>
  <c r="L8" i="3" s="1"/>
  <c r="L8" i="4" s="1"/>
  <c r="L7" i="2"/>
  <c r="L20" i="2" s="1"/>
  <c r="M8" i="3" s="1"/>
  <c r="M8" i="4" s="1"/>
  <c r="M7" i="2"/>
  <c r="M20" i="2" s="1"/>
  <c r="N8" i="3" s="1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C4" i="2"/>
  <c r="C17" i="2" s="1"/>
  <c r="D5" i="3" s="1"/>
  <c r="D5" i="4" s="1"/>
  <c r="D4" i="2"/>
  <c r="E4" i="2"/>
  <c r="F4" i="2"/>
  <c r="G4" i="2"/>
  <c r="H4" i="2"/>
  <c r="I4" i="2"/>
  <c r="J4" i="2"/>
  <c r="K4" i="2"/>
  <c r="L4" i="2"/>
  <c r="M4" i="2"/>
  <c r="B4" i="2"/>
  <c r="B17" i="2" s="1"/>
  <c r="Y5" i="3"/>
  <c r="Y5" i="4" s="1"/>
  <c r="Z5" i="3"/>
  <c r="Z5" i="4" s="1"/>
  <c r="Z15" i="5" s="1"/>
  <c r="Y6" i="3"/>
  <c r="Y6" i="4" s="1"/>
  <c r="Z6" i="3"/>
  <c r="Z6" i="4" s="1"/>
  <c r="Z16" i="5" s="1"/>
  <c r="Y7" i="3"/>
  <c r="Y7" i="4" s="1"/>
  <c r="Z7" i="3"/>
  <c r="Z7" i="4" s="1"/>
  <c r="Z17" i="5" s="1"/>
  <c r="Y8" i="3"/>
  <c r="Y8" i="4" s="1"/>
  <c r="Z8" i="3"/>
  <c r="Z8" i="4" s="1"/>
  <c r="Z18" i="5" s="1"/>
  <c r="B6" i="4"/>
  <c r="B7" i="4"/>
  <c r="B17" i="5" s="1"/>
  <c r="B8" i="4"/>
  <c r="B18" i="5" s="1"/>
  <c r="B5" i="4"/>
  <c r="B6" i="3"/>
  <c r="B7" i="3"/>
  <c r="B8" i="3"/>
  <c r="B5" i="3"/>
  <c r="I38" i="4"/>
  <c r="C4" i="4"/>
  <c r="C14" i="5" s="1"/>
  <c r="C21" i="5" s="1"/>
  <c r="C2" i="4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X8" i="3"/>
  <c r="X8" i="4" s="1"/>
  <c r="W8" i="3"/>
  <c r="W8" i="4" s="1"/>
  <c r="V8" i="3"/>
  <c r="V8" i="4" s="1"/>
  <c r="U8" i="3"/>
  <c r="U8" i="4" s="1"/>
  <c r="T8" i="3"/>
  <c r="T8" i="4" s="1"/>
  <c r="S8" i="3"/>
  <c r="S8" i="4" s="1"/>
  <c r="R8" i="3"/>
  <c r="R8" i="4" s="1"/>
  <c r="Q8" i="3"/>
  <c r="Q8" i="4" s="1"/>
  <c r="P8" i="3"/>
  <c r="P8" i="4" s="1"/>
  <c r="O8" i="3"/>
  <c r="O8" i="4" s="1"/>
  <c r="X7" i="3"/>
  <c r="X7" i="4" s="1"/>
  <c r="W7" i="3"/>
  <c r="W7" i="4" s="1"/>
  <c r="V7" i="3"/>
  <c r="V7" i="4" s="1"/>
  <c r="U7" i="3"/>
  <c r="U7" i="4" s="1"/>
  <c r="T7" i="3"/>
  <c r="T7" i="4" s="1"/>
  <c r="S7" i="3"/>
  <c r="S7" i="4" s="1"/>
  <c r="R7" i="3"/>
  <c r="R7" i="4" s="1"/>
  <c r="Q7" i="3"/>
  <c r="Q7" i="4" s="1"/>
  <c r="P7" i="3"/>
  <c r="P7" i="4" s="1"/>
  <c r="O7" i="3"/>
  <c r="O7" i="4" s="1"/>
  <c r="X6" i="3"/>
  <c r="X6" i="4" s="1"/>
  <c r="W6" i="3"/>
  <c r="W6" i="4" s="1"/>
  <c r="V6" i="3"/>
  <c r="V6" i="4" s="1"/>
  <c r="U6" i="3"/>
  <c r="U6" i="4" s="1"/>
  <c r="T6" i="3"/>
  <c r="T6" i="4" s="1"/>
  <c r="S6" i="3"/>
  <c r="S6" i="4" s="1"/>
  <c r="R6" i="3"/>
  <c r="R6" i="4" s="1"/>
  <c r="Q6" i="3"/>
  <c r="Q6" i="4" s="1"/>
  <c r="P6" i="3"/>
  <c r="P6" i="4" s="1"/>
  <c r="O6" i="3"/>
  <c r="O6" i="4" s="1"/>
  <c r="X5" i="3"/>
  <c r="X5" i="4" s="1"/>
  <c r="W5" i="3"/>
  <c r="W5" i="4" s="1"/>
  <c r="V5" i="3"/>
  <c r="V5" i="4" s="1"/>
  <c r="U5" i="3"/>
  <c r="U5" i="4" s="1"/>
  <c r="T5" i="3"/>
  <c r="T5" i="4" s="1"/>
  <c r="S5" i="3"/>
  <c r="S5" i="4" s="1"/>
  <c r="R5" i="3"/>
  <c r="R5" i="4" s="1"/>
  <c r="Q5" i="3"/>
  <c r="Q5" i="4" s="1"/>
  <c r="P5" i="3"/>
  <c r="P5" i="4" s="1"/>
  <c r="O5" i="3"/>
  <c r="B25" i="5" l="1"/>
  <c r="B32" i="5" s="1"/>
  <c r="B24" i="5"/>
  <c r="B31" i="5" s="1"/>
  <c r="B16" i="5"/>
  <c r="B23" i="5" s="1"/>
  <c r="B30" i="5" s="1"/>
  <c r="B15" i="5"/>
  <c r="B22" i="5" s="1"/>
  <c r="B29" i="5" s="1"/>
  <c r="Y15" i="5"/>
  <c r="Y18" i="5"/>
  <c r="Y17" i="5"/>
  <c r="Y16" i="5"/>
  <c r="W18" i="5"/>
  <c r="N8" i="4"/>
  <c r="M6" i="4"/>
  <c r="M16" i="5" s="1"/>
  <c r="O5" i="4"/>
  <c r="O15" i="5" s="1"/>
  <c r="I8" i="4"/>
  <c r="I18" i="5" s="1"/>
  <c r="K7" i="4"/>
  <c r="K17" i="5" s="1"/>
  <c r="D17" i="2"/>
  <c r="E5" i="3" s="1"/>
  <c r="E5" i="4" s="1"/>
  <c r="C5" i="3"/>
  <c r="C5" i="4" s="1"/>
  <c r="D4" i="4"/>
  <c r="D14" i="5" s="1"/>
  <c r="C28" i="5"/>
  <c r="E17" i="5"/>
  <c r="J18" i="5"/>
  <c r="X17" i="5"/>
  <c r="S16" i="5"/>
  <c r="J16" i="5"/>
  <c r="V15" i="5"/>
  <c r="G17" i="5"/>
  <c r="H18" i="5"/>
  <c r="J17" i="5"/>
  <c r="L16" i="5"/>
  <c r="L17" i="5"/>
  <c r="L18" i="5"/>
  <c r="X15" i="5"/>
  <c r="P17" i="5"/>
  <c r="V16" i="5"/>
  <c r="S18" i="5"/>
  <c r="W15" i="5"/>
  <c r="M18" i="5"/>
  <c r="N16" i="5"/>
  <c r="P16" i="5"/>
  <c r="F17" i="5"/>
  <c r="Q17" i="5"/>
  <c r="C17" i="5"/>
  <c r="S17" i="5"/>
  <c r="Q16" i="5"/>
  <c r="U18" i="5"/>
  <c r="S15" i="5"/>
  <c r="T17" i="5"/>
  <c r="U15" i="5"/>
  <c r="T18" i="5"/>
  <c r="X16" i="5"/>
  <c r="O18" i="5"/>
  <c r="R17" i="5"/>
  <c r="Q18" i="5"/>
  <c r="G16" i="5"/>
  <c r="G18" i="5"/>
  <c r="E16" i="5"/>
  <c r="P18" i="5"/>
  <c r="I16" i="5"/>
  <c r="N17" i="5"/>
  <c r="R18" i="5"/>
  <c r="K18" i="5"/>
  <c r="O17" i="5"/>
  <c r="K16" i="5"/>
  <c r="M17" i="5"/>
  <c r="O16" i="5"/>
  <c r="V17" i="5"/>
  <c r="C18" i="5"/>
  <c r="C25" i="5" s="1"/>
  <c r="U17" i="5"/>
  <c r="X18" i="5"/>
  <c r="V18" i="5"/>
  <c r="D15" i="5"/>
  <c r="D17" i="5"/>
  <c r="I17" i="5"/>
  <c r="R16" i="5"/>
  <c r="W17" i="5"/>
  <c r="W16" i="5"/>
  <c r="C16" i="5"/>
  <c r="R15" i="5"/>
  <c r="U16" i="5"/>
  <c r="D16" i="5"/>
  <c r="D18" i="5"/>
  <c r="P15" i="5"/>
  <c r="F16" i="5"/>
  <c r="F18" i="5"/>
  <c r="T16" i="5"/>
  <c r="H16" i="5"/>
  <c r="H17" i="5"/>
  <c r="T15" i="5"/>
  <c r="E18" i="5"/>
  <c r="Q15" i="5"/>
  <c r="J23" i="5" l="1"/>
  <c r="D25" i="5"/>
  <c r="H25" i="5"/>
  <c r="H32" i="5" s="1"/>
  <c r="H24" i="5"/>
  <c r="H31" i="5" s="1"/>
  <c r="H23" i="5"/>
  <c r="H30" i="5" s="1"/>
  <c r="E23" i="5"/>
  <c r="E30" i="5" s="1"/>
  <c r="F23" i="5"/>
  <c r="F30" i="5" s="1"/>
  <c r="N24" i="5"/>
  <c r="N31" i="5" s="1"/>
  <c r="E24" i="5"/>
  <c r="E31" i="5" s="1"/>
  <c r="S23" i="5"/>
  <c r="S30" i="5" s="1"/>
  <c r="I23" i="5"/>
  <c r="I30" i="5" s="1"/>
  <c r="V23" i="5"/>
  <c r="V30" i="5" s="1"/>
  <c r="X24" i="5"/>
  <c r="X31" i="5" s="1"/>
  <c r="C24" i="5"/>
  <c r="C31" i="5" s="1"/>
  <c r="Z24" i="5"/>
  <c r="Z31" i="5" s="1"/>
  <c r="J25" i="5"/>
  <c r="J32" i="5" s="1"/>
  <c r="U23" i="5"/>
  <c r="U30" i="5" s="1"/>
  <c r="G25" i="5"/>
  <c r="G32" i="5" s="1"/>
  <c r="S24" i="5"/>
  <c r="S31" i="5" s="1"/>
  <c r="L25" i="5"/>
  <c r="L32" i="5" s="1"/>
  <c r="V24" i="5"/>
  <c r="V31" i="5" s="1"/>
  <c r="G23" i="5"/>
  <c r="G30" i="5" s="1"/>
  <c r="L24" i="5"/>
  <c r="L31" i="5" s="1"/>
  <c r="E25" i="5"/>
  <c r="E32" i="5" s="1"/>
  <c r="C23" i="5"/>
  <c r="C30" i="5" s="1"/>
  <c r="Z23" i="5"/>
  <c r="Z30" i="5" s="1"/>
  <c r="O23" i="5"/>
  <c r="O30" i="5" s="1"/>
  <c r="Q24" i="5"/>
  <c r="Q31" i="5" s="1"/>
  <c r="L23" i="5"/>
  <c r="L30" i="5" s="1"/>
  <c r="T24" i="5"/>
  <c r="T31" i="5" s="1"/>
  <c r="P24" i="5"/>
  <c r="P31" i="5" s="1"/>
  <c r="U24" i="5"/>
  <c r="U31" i="5" s="1"/>
  <c r="Y24" i="5"/>
  <c r="Y31" i="5" s="1"/>
  <c r="W23" i="5"/>
  <c r="W30" i="5" s="1"/>
  <c r="M24" i="5"/>
  <c r="M31" i="5" s="1"/>
  <c r="R24" i="5"/>
  <c r="R31" i="5" s="1"/>
  <c r="F24" i="5"/>
  <c r="F31" i="5" s="1"/>
  <c r="J24" i="5"/>
  <c r="J31" i="5" s="1"/>
  <c r="Y23" i="5"/>
  <c r="Y30" i="5" s="1"/>
  <c r="P23" i="5"/>
  <c r="P30" i="5" s="1"/>
  <c r="K24" i="5"/>
  <c r="K31" i="5" s="1"/>
  <c r="Q23" i="5"/>
  <c r="Q30" i="5" s="1"/>
  <c r="X23" i="5"/>
  <c r="X30" i="5" s="1"/>
  <c r="N23" i="5"/>
  <c r="N30" i="5" s="1"/>
  <c r="G24" i="5"/>
  <c r="G31" i="5" s="1"/>
  <c r="I25" i="5"/>
  <c r="I32" i="5" s="1"/>
  <c r="O24" i="5"/>
  <c r="O31" i="5" s="1"/>
  <c r="W24" i="5"/>
  <c r="W31" i="5" s="1"/>
  <c r="K23" i="5"/>
  <c r="K30" i="5" s="1"/>
  <c r="R23" i="5"/>
  <c r="R30" i="5" s="1"/>
  <c r="T23" i="5"/>
  <c r="T30" i="5" s="1"/>
  <c r="I24" i="5"/>
  <c r="I31" i="5" s="1"/>
  <c r="K25" i="5"/>
  <c r="K32" i="5" s="1"/>
  <c r="M25" i="5"/>
  <c r="M32" i="5" s="1"/>
  <c r="F25" i="5"/>
  <c r="F32" i="5" s="1"/>
  <c r="J30" i="5"/>
  <c r="M23" i="5"/>
  <c r="M30" i="5" s="1"/>
  <c r="D24" i="5"/>
  <c r="D31" i="5" s="1"/>
  <c r="D23" i="5"/>
  <c r="D30" i="5" s="1"/>
  <c r="D32" i="5"/>
  <c r="N18" i="5"/>
  <c r="W25" i="5" s="1"/>
  <c r="E15" i="5"/>
  <c r="C32" i="5"/>
  <c r="E17" i="2"/>
  <c r="F5" i="3" s="1"/>
  <c r="F5" i="4" s="1"/>
  <c r="C15" i="5"/>
  <c r="E4" i="4"/>
  <c r="E14" i="5" s="1"/>
  <c r="D21" i="5"/>
  <c r="D28" i="5"/>
  <c r="S25" i="5" l="1"/>
  <c r="S32" i="5" s="1"/>
  <c r="E22" i="5"/>
  <c r="E29" i="5" s="1"/>
  <c r="E34" i="5" s="1"/>
  <c r="U25" i="5"/>
  <c r="U32" i="5" s="1"/>
  <c r="R25" i="5"/>
  <c r="R32" i="5" s="1"/>
  <c r="T25" i="5"/>
  <c r="T32" i="5" s="1"/>
  <c r="X25" i="5"/>
  <c r="X32" i="5" s="1"/>
  <c r="C22" i="5"/>
  <c r="C29" i="5" s="1"/>
  <c r="N25" i="5"/>
  <c r="N32" i="5" s="1"/>
  <c r="O25" i="5"/>
  <c r="O32" i="5" s="1"/>
  <c r="Y25" i="5"/>
  <c r="Y32" i="5" s="1"/>
  <c r="Q25" i="5"/>
  <c r="Q32" i="5" s="1"/>
  <c r="V25" i="5"/>
  <c r="V32" i="5" s="1"/>
  <c r="Z25" i="5"/>
  <c r="Z32" i="5" s="1"/>
  <c r="P25" i="5"/>
  <c r="P32" i="5" s="1"/>
  <c r="D22" i="5"/>
  <c r="D29" i="5" s="1"/>
  <c r="D34" i="5" s="1"/>
  <c r="W32" i="5"/>
  <c r="F17" i="2"/>
  <c r="G5" i="3" s="1"/>
  <c r="G5" i="4" s="1"/>
  <c r="F15" i="5"/>
  <c r="F22" i="5" s="1"/>
  <c r="F4" i="4"/>
  <c r="G4" i="4" s="1"/>
  <c r="E21" i="5"/>
  <c r="E28" i="5"/>
  <c r="C35" i="5" l="1"/>
  <c r="C34" i="5"/>
  <c r="F14" i="5"/>
  <c r="F21" i="5" s="1"/>
  <c r="E35" i="5"/>
  <c r="E36" i="5" s="1"/>
  <c r="D35" i="5"/>
  <c r="D36" i="5" s="1"/>
  <c r="F29" i="5"/>
  <c r="G17" i="2"/>
  <c r="H5" i="3" s="1"/>
  <c r="H5" i="4" s="1"/>
  <c r="G15" i="5"/>
  <c r="H4" i="4"/>
  <c r="G14" i="5"/>
  <c r="G22" i="5" l="1"/>
  <c r="G29" i="5" s="1"/>
  <c r="G34" i="5" s="1"/>
  <c r="C36" i="5"/>
  <c r="F28" i="5"/>
  <c r="H15" i="5"/>
  <c r="H17" i="2"/>
  <c r="I5" i="3" s="1"/>
  <c r="I5" i="4" s="1"/>
  <c r="F34" i="5"/>
  <c r="F35" i="5"/>
  <c r="G28" i="5"/>
  <c r="G21" i="5"/>
  <c r="I4" i="4"/>
  <c r="H14" i="5"/>
  <c r="G35" i="5" l="1"/>
  <c r="H22" i="5"/>
  <c r="H29" i="5" s="1"/>
  <c r="H34" i="5" s="1"/>
  <c r="F36" i="5"/>
  <c r="I15" i="5"/>
  <c r="I17" i="2"/>
  <c r="J5" i="3" s="1"/>
  <c r="J5" i="4" s="1"/>
  <c r="H28" i="5"/>
  <c r="H21" i="5"/>
  <c r="J4" i="4"/>
  <c r="I14" i="5"/>
  <c r="G36" i="5" l="1"/>
  <c r="I22" i="5"/>
  <c r="I29" i="5" s="1"/>
  <c r="J15" i="5"/>
  <c r="J22" i="5" s="1"/>
  <c r="H35" i="5"/>
  <c r="J17" i="2"/>
  <c r="K5" i="3" s="1"/>
  <c r="K5" i="4" s="1"/>
  <c r="I28" i="5"/>
  <c r="I21" i="5"/>
  <c r="K4" i="4"/>
  <c r="J14" i="5"/>
  <c r="K15" i="5" l="1"/>
  <c r="K22" i="5" s="1"/>
  <c r="K17" i="2"/>
  <c r="L5" i="3" s="1"/>
  <c r="L5" i="4" s="1"/>
  <c r="J29" i="5"/>
  <c r="I34" i="5"/>
  <c r="I35" i="5"/>
  <c r="H36" i="5"/>
  <c r="J28" i="5"/>
  <c r="J21" i="5"/>
  <c r="L4" i="4"/>
  <c r="K14" i="5"/>
  <c r="I36" i="5" l="1"/>
  <c r="J35" i="5"/>
  <c r="J34" i="5"/>
  <c r="L15" i="5"/>
  <c r="L22" i="5" s="1"/>
  <c r="M17" i="2"/>
  <c r="N5" i="3" s="1"/>
  <c r="N5" i="4" s="1"/>
  <c r="L17" i="2"/>
  <c r="M5" i="3" s="1"/>
  <c r="M5" i="4" s="1"/>
  <c r="K29" i="5"/>
  <c r="L14" i="5"/>
  <c r="M4" i="4"/>
  <c r="K21" i="5"/>
  <c r="K28" i="5"/>
  <c r="N15" i="5" l="1"/>
  <c r="K35" i="5"/>
  <c r="K34" i="5"/>
  <c r="L29" i="5"/>
  <c r="J36" i="5"/>
  <c r="M15" i="5"/>
  <c r="M22" i="5" s="1"/>
  <c r="M14" i="5"/>
  <c r="N4" i="4"/>
  <c r="L21" i="5"/>
  <c r="L28" i="5"/>
  <c r="N22" i="5" l="1"/>
  <c r="N29" i="5" s="1"/>
  <c r="S22" i="5"/>
  <c r="S29" i="5" s="1"/>
  <c r="V22" i="5"/>
  <c r="V29" i="5" s="1"/>
  <c r="O22" i="5"/>
  <c r="O29" i="5" s="1"/>
  <c r="O34" i="5" s="1"/>
  <c r="Y22" i="5"/>
  <c r="Y29" i="5" s="1"/>
  <c r="T22" i="5"/>
  <c r="T29" i="5" s="1"/>
  <c r="Q22" i="5"/>
  <c r="Q29" i="5" s="1"/>
  <c r="Q34" i="5" s="1"/>
  <c r="Z22" i="5"/>
  <c r="Z29" i="5" s="1"/>
  <c r="W22" i="5"/>
  <c r="W29" i="5" s="1"/>
  <c r="R22" i="5"/>
  <c r="R29" i="5" s="1"/>
  <c r="X22" i="5"/>
  <c r="X29" i="5" s="1"/>
  <c r="P22" i="5"/>
  <c r="P29" i="5" s="1"/>
  <c r="P35" i="5" s="1"/>
  <c r="U22" i="5"/>
  <c r="U29" i="5" s="1"/>
  <c r="U34" i="5" s="1"/>
  <c r="M29" i="5"/>
  <c r="L35" i="5"/>
  <c r="L34" i="5"/>
  <c r="K36" i="5"/>
  <c r="N14" i="5"/>
  <c r="O4" i="4"/>
  <c r="M21" i="5"/>
  <c r="M28" i="5"/>
  <c r="Z35" i="5" l="1"/>
  <c r="Z34" i="5"/>
  <c r="Y35" i="5"/>
  <c r="Y34" i="5"/>
  <c r="U35" i="5"/>
  <c r="U36" i="5" s="1"/>
  <c r="O35" i="5"/>
  <c r="O36" i="5" s="1"/>
  <c r="Q35" i="5"/>
  <c r="Q36" i="5" s="1"/>
  <c r="P34" i="5"/>
  <c r="P36" i="5" s="1"/>
  <c r="S34" i="5"/>
  <c r="S35" i="5"/>
  <c r="T34" i="5"/>
  <c r="T35" i="5"/>
  <c r="W35" i="5"/>
  <c r="W34" i="5"/>
  <c r="L36" i="5"/>
  <c r="V34" i="5"/>
  <c r="V35" i="5"/>
  <c r="M34" i="5"/>
  <c r="M35" i="5"/>
  <c r="X35" i="5"/>
  <c r="X34" i="5"/>
  <c r="R35" i="5"/>
  <c r="R34" i="5"/>
  <c r="N34" i="5"/>
  <c r="N35" i="5"/>
  <c r="O14" i="5"/>
  <c r="P4" i="4"/>
  <c r="N28" i="5"/>
  <c r="N21" i="5"/>
  <c r="Y36" i="5" l="1"/>
  <c r="Z36" i="5"/>
  <c r="V36" i="5"/>
  <c r="M36" i="5"/>
  <c r="S36" i="5"/>
  <c r="R36" i="5"/>
  <c r="T36" i="5"/>
  <c r="N36" i="5"/>
  <c r="X36" i="5"/>
  <c r="W36" i="5"/>
  <c r="Q4" i="4"/>
  <c r="P14" i="5"/>
  <c r="O28" i="5"/>
  <c r="O21" i="5"/>
  <c r="P28" i="5" l="1"/>
  <c r="P21" i="5"/>
  <c r="R4" i="4"/>
  <c r="Q14" i="5"/>
  <c r="S4" i="4" l="1"/>
  <c r="R14" i="5"/>
  <c r="Q21" i="5"/>
  <c r="Q28" i="5"/>
  <c r="R28" i="5" l="1"/>
  <c r="R21" i="5"/>
  <c r="T4" i="4"/>
  <c r="S14" i="5"/>
  <c r="U4" i="4" l="1"/>
  <c r="T14" i="5"/>
  <c r="S28" i="5"/>
  <c r="S21" i="5"/>
  <c r="T28" i="5" l="1"/>
  <c r="T21" i="5"/>
  <c r="V4" i="4"/>
  <c r="U14" i="5"/>
  <c r="U28" i="5" l="1"/>
  <c r="U21" i="5"/>
  <c r="W4" i="4"/>
  <c r="V14" i="5"/>
  <c r="V28" i="5" l="1"/>
  <c r="V21" i="5"/>
  <c r="X4" i="4"/>
  <c r="W14" i="5"/>
  <c r="W21" i="5" l="1"/>
  <c r="W28" i="5"/>
  <c r="X14" i="5"/>
  <c r="Y4" i="4"/>
  <c r="Z4" i="4" l="1"/>
  <c r="Z14" i="5" s="1"/>
  <c r="Y14" i="5"/>
  <c r="X21" i="5"/>
  <c r="X28" i="5"/>
  <c r="Y21" i="5" l="1"/>
  <c r="Y28" i="5"/>
  <c r="Z21" i="5"/>
  <c r="Z28" i="5"/>
</calcChain>
</file>

<file path=xl/sharedStrings.xml><?xml version="1.0" encoding="utf-8"?>
<sst xmlns="http://schemas.openxmlformats.org/spreadsheetml/2006/main" count="95" uniqueCount="60">
  <si>
    <t>A</t>
  </si>
  <si>
    <t>B</t>
  </si>
  <si>
    <t>C</t>
  </si>
  <si>
    <t>D</t>
  </si>
  <si>
    <t>E</t>
  </si>
  <si>
    <t>F</t>
  </si>
  <si>
    <t>G</t>
  </si>
  <si>
    <t>H</t>
  </si>
  <si>
    <t>Time (min)</t>
  </si>
  <si>
    <t>Ch1 (A)</t>
  </si>
  <si>
    <t>Ch2 (B)</t>
  </si>
  <si>
    <t>Ch3 (C)</t>
  </si>
  <si>
    <t>Ch4 (D)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</si>
  <si>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</si>
  <si>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</si>
  <si>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</si>
  <si>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</si>
  <si>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</si>
  <si>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</si>
  <si>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</si>
  <si>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</si>
  <si>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</si>
  <si>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</si>
  <si>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</si>
  <si>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ug MB</t>
  </si>
  <si>
    <t>Flow RMSP (Q+) / (Q-) ml/min</t>
  </si>
  <si>
    <t>Temperature (oC) +/-1</t>
  </si>
  <si>
    <t>Correction O.D</t>
  </si>
  <si>
    <t>Convert to MB  content (ug)</t>
  </si>
  <si>
    <t>Average (%)</t>
  </si>
  <si>
    <t>a</t>
  </si>
  <si>
    <t>b</t>
  </si>
  <si>
    <t>Vol.Media (ml)</t>
  </si>
  <si>
    <t>HTDPA P15 – Sampling-Corrected Cumulative Methylene Blue Release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</si>
  <si>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</si>
  <si>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</si>
  <si>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</si>
  <si>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</si>
  <si>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</si>
  <si>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</si>
  <si>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</si>
  <si>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</si>
  <si>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</si>
  <si>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</si>
  <si>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</si>
  <si>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Sampling-corrected cumulative release (µg)</t>
  </si>
  <si>
    <t>Sampling-corrected cumulative release (% of 250 µg donor dose)</t>
  </si>
  <si>
    <t>S.D. (%)</t>
  </si>
  <si>
    <t>C.V. (%)</t>
  </si>
  <si>
    <t>The existing Conversions sheet applies sampling correction only at selected cells. This sheet uses the cumulative correction at every time point and leaves the original sheet unchanged.</t>
  </si>
  <si>
    <t>Note</t>
  </si>
  <si>
    <t xml:space="preserve"> All CH</t>
  </si>
  <si>
    <t>EDIT</t>
  </si>
  <si>
    <t>P23-1</t>
  </si>
  <si>
    <t>P23-2</t>
  </si>
  <si>
    <t>P23-3</t>
  </si>
  <si>
    <t>P23-4</t>
  </si>
  <si>
    <t>P23(Poloxamer 407), 1 µm PET membrane,7 RPM, 28 °C, n=4 channels</t>
  </si>
  <si>
    <t>240426_R_7rpm_1um_500_34oC</t>
  </si>
  <si>
    <t>7RPM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</si>
</sst>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theme="1"/>
      <name val="Liberation Sans"/>
    </font>
    <font>
      <sz val="10"/>
      <color theme="1"/>
      <name val="Liberation Serif"/>
    </font>
    <font>
      <sz val="10"/>
      <name val="Times New Roman"/>
      <family val="1"/>
      <charset val="1"/>
    </font>
    <font>
      <sz val="10"/>
      <color theme="1"/>
      <name val="Arial"/>
      <family val="2"/>
    </font>
    <font>
      <b/>
      <sz val="11"/>
      <color theme="1"/>
      <name val="Aptos Narrow"/>
      <scheme val="minor"/>
    </font>
    <font>
      <b/>
      <sz val="14"/>
      <color rgb="FFFFFFFF"/>
      <name val="Aptos Narrow"/>
    </font>
    <font>
      <i/>
      <sz val="11"/>
      <color rgb="FF404040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0000FF"/>
      <name val="Aptos Narrow"/>
    </font>
    <font>
      <sz val="11"/>
      <color rgb="FF7030A0"/>
      <name val="Aptos Narrow"/>
    </font>
    <font>
      <sz val="11"/>
      <color rgb="FF000000"/>
      <name val="Aptos Narrow"/>
    </font>
    <font>
      <b/>
      <sz val="11"/>
      <name val="Aptos Narrow"/>
    </font>
    <font>
      <sz val="11"/>
      <name val="Aptos Narrow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 applyNumberFormat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/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5" fillId="0" borderId="0" xfId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horizontal="right" wrapText="1"/>
    </xf>
    <xf numFmtId="0" fontId="1" fillId="0" borderId="0" xfId="0" applyFont="1"/>
    <xf numFmtId="0" fontId="6" fillId="0" borderId="0" xfId="0" applyFont="1"/>
    <xf numFmtId="0" fontId="10" fillId="3" borderId="0" xfId="0" applyFont="1" applyFill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5" fillId="4" borderId="0" xfId="0" applyFont="1" applyFill="1" applyAlignment="1">
      <alignment horizontal="center"/>
    </xf>
    <xf numFmtId="0" fontId="16" fillId="0" borderId="0" xfId="0" applyFont="1"/>
    <xf numFmtId="164" fontId="14" fillId="0" borderId="0" xfId="0" applyNumberFormat="1" applyFont="1"/>
    <xf numFmtId="2" fontId="0" fillId="0" borderId="0" xfId="0" applyNumberFormat="1"/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1" applyAlignment="1">
      <alignment horizontal="center"/>
    </xf>
    <xf numFmtId="0" fontId="9" fillId="6" borderId="0" xfId="0" applyFont="1" applyFill="1"/>
    <xf numFmtId="0" fontId="0" fillId="6" borderId="0" xfId="0" applyFill="1"/>
    <xf numFmtId="0" fontId="0" fillId="0" borderId="0" xfId="0" applyAlignment="1">
      <alignment wrapText="1"/>
    </xf>
    <xf numFmtId="0" fontId="8" fillId="3" borderId="0" xfId="0" applyFont="1" applyFill="1" applyAlignment="1">
      <alignment horizontal="left"/>
    </xf>
    <xf numFmtId="0" fontId="0" fillId="5" borderId="0" xfId="0" applyFill="1" applyAlignment="1">
      <alignment wrapText="1"/>
    </xf>
  </cellXfs>
  <cellStyles count="3">
    <cellStyle name="Default" xfId="2" xr:uid="{8C84BB49-B35C-4042-A912-4778DF12074D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660 nm MB Std Curve</a:t>
            </a:r>
          </a:p>
        </c:rich>
      </c:tx>
      <c:layout>
        <c:manualLayout>
          <c:xMode val="edge"/>
          <c:yMode val="edge"/>
          <c:x val="0.19860979514490151"/>
          <c:y val="4.175266967775376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5674616917698567"/>
                  <c:y val="-2.1502624884043191E-2"/>
                </c:manualLayout>
              </c:layout>
              <c:numFmt formatCode="General" sourceLinked="0"/>
            </c:trendlineLbl>
          </c:trendline>
          <c:xVal>
            <c:numRef>
              <c:f>'[1]240426_R_ 30rpm_1um_500_34oC'!$H$51:$N$51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0</c:v>
                </c:pt>
              </c:numCache>
            </c:numRef>
          </c:xVal>
          <c:yVal>
            <c:numRef>
              <c:f>'[1]240426_R_ 30rpm_1um_500_34oC'!$H$53:$N$53</c:f>
              <c:numCache>
                <c:formatCode>General</c:formatCode>
                <c:ptCount val="7"/>
                <c:pt idx="0">
                  <c:v>2.375</c:v>
                </c:pt>
                <c:pt idx="1">
                  <c:v>1.9119999999999999</c:v>
                </c:pt>
                <c:pt idx="2">
                  <c:v>1.3939999999999999</c:v>
                </c:pt>
                <c:pt idx="3">
                  <c:v>0.98099999999999987</c:v>
                </c:pt>
                <c:pt idx="4">
                  <c:v>0.68699999999999994</c:v>
                </c:pt>
                <c:pt idx="5">
                  <c:v>0.377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3-9D49-BDAB-AF7E5031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376960"/>
        <c:axId val="1"/>
      </c:scatterChart>
      <c:valAx>
        <c:axId val="16323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769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'Cumulative Release'!$B$29</c:f>
              <c:strCache>
                <c:ptCount val="1"/>
                <c:pt idx="0">
                  <c:v>P23-1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Release'!$C$29:$W$29</c:f>
              <c:numCache>
                <c:formatCode>0.00</c:formatCode>
                <c:ptCount val="21"/>
                <c:pt idx="0">
                  <c:v>-4.1084518828451886</c:v>
                </c:pt>
                <c:pt idx="1">
                  <c:v>-1.9365690376569038</c:v>
                </c:pt>
                <c:pt idx="2">
                  <c:v>-5.3389121338912299E-2</c:v>
                </c:pt>
                <c:pt idx="3">
                  <c:v>1.2825104602510453</c:v>
                </c:pt>
                <c:pt idx="4">
                  <c:v>2.4451882845188284</c:v>
                </c:pt>
                <c:pt idx="5">
                  <c:v>3.4957322175732228</c:v>
                </c:pt>
                <c:pt idx="6">
                  <c:v>4.3052719665271981</c:v>
                </c:pt>
                <c:pt idx="7">
                  <c:v>5.5700418410041825</c:v>
                </c:pt>
                <c:pt idx="8">
                  <c:v>6.6599163179916321</c:v>
                </c:pt>
                <c:pt idx="9">
                  <c:v>8.2083682008368211</c:v>
                </c:pt>
                <c:pt idx="10">
                  <c:v>9.458075313807532</c:v>
                </c:pt>
                <c:pt idx="11">
                  <c:v>10.468451882845185</c:v>
                </c:pt>
                <c:pt idx="12">
                  <c:v>10.918158995815899</c:v>
                </c:pt>
                <c:pt idx="13">
                  <c:v>12.008033472803348</c:v>
                </c:pt>
                <c:pt idx="14">
                  <c:v>13.046861924686192</c:v>
                </c:pt>
                <c:pt idx="15">
                  <c:v>13.970209205020925</c:v>
                </c:pt>
                <c:pt idx="16">
                  <c:v>14.967196652719661</c:v>
                </c:pt>
                <c:pt idx="17">
                  <c:v>16.35665271966527</c:v>
                </c:pt>
                <c:pt idx="18">
                  <c:v>17.698410041841008</c:v>
                </c:pt>
                <c:pt idx="19">
                  <c:v>19.118828451882848</c:v>
                </c:pt>
                <c:pt idx="20">
                  <c:v>21.191129707112971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D-C648-A017-5112F32DECF5}"/>
            </c:ext>
          </c:extLst>
        </c:ser>
        <c:ser>
          <c:idx val="1"/>
          <c:order val="1"/>
          <c:tx>
            <c:strRef>
              <c:f>'Cumulative Release'!$B$30</c:f>
              <c:strCache>
                <c:ptCount val="1"/>
                <c:pt idx="0">
                  <c:v>P23-2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Release'!$C$30:$W$30</c:f>
              <c:numCache>
                <c:formatCode>0.00</c:formatCode>
                <c:ptCount val="21"/>
                <c:pt idx="0">
                  <c:v>-4.1725857740585779</c:v>
                </c:pt>
                <c:pt idx="1">
                  <c:v>-1.0766861924686195</c:v>
                </c:pt>
                <c:pt idx="2">
                  <c:v>0.35360669456066968</c:v>
                </c:pt>
                <c:pt idx="3">
                  <c:v>1.8023096234309623</c:v>
                </c:pt>
                <c:pt idx="4">
                  <c:v>2.5477489539748963</c:v>
                </c:pt>
                <c:pt idx="5">
                  <c:v>4.0240669456066955</c:v>
                </c:pt>
                <c:pt idx="6">
                  <c:v>5.1251548117154799</c:v>
                </c:pt>
                <c:pt idx="7">
                  <c:v>6.0428117154811707</c:v>
                </c:pt>
                <c:pt idx="8">
                  <c:v>7.1025606694560679</c:v>
                </c:pt>
                <c:pt idx="9">
                  <c:v>8.109255230125525</c:v>
                </c:pt>
                <c:pt idx="10">
                  <c:v>9.4556987447698759</c:v>
                </c:pt>
                <c:pt idx="11">
                  <c:v>10.752435146443515</c:v>
                </c:pt>
                <c:pt idx="12">
                  <c:v>11.211347280334728</c:v>
                </c:pt>
                <c:pt idx="13">
                  <c:v>12.986577405857741</c:v>
                </c:pt>
                <c:pt idx="14">
                  <c:v>13.470594142259415</c:v>
                </c:pt>
                <c:pt idx="15">
                  <c:v>14.614861924686195</c:v>
                </c:pt>
                <c:pt idx="16">
                  <c:v>15.706075313807533</c:v>
                </c:pt>
                <c:pt idx="17">
                  <c:v>16.612184100418411</c:v>
                </c:pt>
                <c:pt idx="18">
                  <c:v>18.117958158995819</c:v>
                </c:pt>
                <c:pt idx="19">
                  <c:v>18.853188284518833</c:v>
                </c:pt>
                <c:pt idx="20">
                  <c:v>20.448000000000004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D-C648-A017-5112F32DECF5}"/>
            </c:ext>
          </c:extLst>
        </c:ser>
        <c:ser>
          <c:idx val="2"/>
          <c:order val="2"/>
          <c:tx>
            <c:strRef>
              <c:f>'Cumulative Release'!$B$31</c:f>
              <c:strCache>
                <c:ptCount val="1"/>
                <c:pt idx="0">
                  <c:v>P23-3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Release'!$C$31:$W$31</c:f>
              <c:numCache>
                <c:formatCode>0.00</c:formatCode>
                <c:ptCount val="21"/>
                <c:pt idx="0">
                  <c:v>-3.2382928870292891</c:v>
                </c:pt>
                <c:pt idx="1">
                  <c:v>-1.479297071129708</c:v>
                </c:pt>
                <c:pt idx="2">
                  <c:v>0.18915481171548121</c:v>
                </c:pt>
                <c:pt idx="3">
                  <c:v>1.0082343096234303</c:v>
                </c:pt>
                <c:pt idx="4">
                  <c:v>1.8972719665271964</c:v>
                </c:pt>
                <c:pt idx="5">
                  <c:v>2.274677824267783</c:v>
                </c:pt>
                <c:pt idx="6">
                  <c:v>3.297774058577406</c:v>
                </c:pt>
                <c:pt idx="7">
                  <c:v>4.1603682008368201</c:v>
                </c:pt>
                <c:pt idx="8">
                  <c:v>5.2676485355648524</c:v>
                </c:pt>
                <c:pt idx="9">
                  <c:v>6.5647196652719657</c:v>
                </c:pt>
                <c:pt idx="10">
                  <c:v>7.8211213389121337</c:v>
                </c:pt>
                <c:pt idx="11">
                  <c:v>8.6865606694560693</c:v>
                </c:pt>
                <c:pt idx="12">
                  <c:v>10.145305439330542</c:v>
                </c:pt>
                <c:pt idx="13">
                  <c:v>10.866142259414225</c:v>
                </c:pt>
                <c:pt idx="14">
                  <c:v>11.653589958158996</c:v>
                </c:pt>
                <c:pt idx="15">
                  <c:v>12.450242677824269</c:v>
                </c:pt>
                <c:pt idx="16">
                  <c:v>13.31434309623431</c:v>
                </c:pt>
                <c:pt idx="17">
                  <c:v>13.839029288702925</c:v>
                </c:pt>
                <c:pt idx="18">
                  <c:v>15.533589958159</c:v>
                </c:pt>
                <c:pt idx="19">
                  <c:v>15.852083682008367</c:v>
                </c:pt>
                <c:pt idx="20">
                  <c:v>17.744803347280335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DD-C648-A017-5112F32DECF5}"/>
            </c:ext>
          </c:extLst>
        </c:ser>
        <c:ser>
          <c:idx val="3"/>
          <c:order val="3"/>
          <c:tx>
            <c:strRef>
              <c:f>'Cumulative Release'!$B$32</c:f>
              <c:strCache>
                <c:ptCount val="1"/>
                <c:pt idx="0">
                  <c:v>P23-4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Release'!$C$32:$W$32</c:f>
              <c:numCache>
                <c:formatCode>0.00</c:formatCode>
                <c:ptCount val="21"/>
                <c:pt idx="0">
                  <c:v>-3.5565523012552314</c:v>
                </c:pt>
                <c:pt idx="1">
                  <c:v>-1.9778075313807535</c:v>
                </c:pt>
                <c:pt idx="2">
                  <c:v>2.671129707112959E-2</c:v>
                </c:pt>
                <c:pt idx="3">
                  <c:v>0.77164853556485213</c:v>
                </c:pt>
                <c:pt idx="4">
                  <c:v>1.7286359832635982</c:v>
                </c:pt>
                <c:pt idx="5">
                  <c:v>2.6297238493723856</c:v>
                </c:pt>
                <c:pt idx="6">
                  <c:v>3.6093054393305444</c:v>
                </c:pt>
                <c:pt idx="7">
                  <c:v>5.141523012552299</c:v>
                </c:pt>
                <c:pt idx="8">
                  <c:v>6.4216903765690363</c:v>
                </c:pt>
                <c:pt idx="9">
                  <c:v>7.8521506276150621</c:v>
                </c:pt>
                <c:pt idx="10">
                  <c:v>8.690811715481173</c:v>
                </c:pt>
                <c:pt idx="11">
                  <c:v>9.4710627615062766</c:v>
                </c:pt>
                <c:pt idx="12">
                  <c:v>10.597757322175735</c:v>
                </c:pt>
                <c:pt idx="13">
                  <c:v>11.060853556485354</c:v>
                </c:pt>
                <c:pt idx="14">
                  <c:v>12.745205020920503</c:v>
                </c:pt>
                <c:pt idx="15">
                  <c:v>13.772652719665274</c:v>
                </c:pt>
                <c:pt idx="16">
                  <c:v>15.351899581589961</c:v>
                </c:pt>
                <c:pt idx="17">
                  <c:v>15.866878661087863</c:v>
                </c:pt>
                <c:pt idx="18">
                  <c:v>17.535497907949793</c:v>
                </c:pt>
                <c:pt idx="19">
                  <c:v>18.208301255230126</c:v>
                </c:pt>
                <c:pt idx="20">
                  <c:v>18.819347280334732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DD-C648-A017-5112F32D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Release'!$B$34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Release'!$C$34:$W$34</c:f>
              <c:numCache>
                <c:formatCode>0.00</c:formatCode>
                <c:ptCount val="21"/>
                <c:pt idx="0">
                  <c:v>-3.7689707112970714</c:v>
                </c:pt>
                <c:pt idx="1">
                  <c:v>-1.6175899581589963</c:v>
                </c:pt>
                <c:pt idx="2">
                  <c:v>0.12902092050209205</c:v>
                </c:pt>
                <c:pt idx="3">
                  <c:v>1.2161757322175726</c:v>
                </c:pt>
                <c:pt idx="4">
                  <c:v>2.1547112970711302</c:v>
                </c:pt>
                <c:pt idx="5">
                  <c:v>3.106050209205022</c:v>
                </c:pt>
                <c:pt idx="6">
                  <c:v>4.0843765690376568</c:v>
                </c:pt>
                <c:pt idx="7">
                  <c:v>5.2286861924686177</c:v>
                </c:pt>
                <c:pt idx="8">
                  <c:v>6.3629539748953965</c:v>
                </c:pt>
                <c:pt idx="9">
                  <c:v>7.6836234309623439</c:v>
                </c:pt>
                <c:pt idx="10">
                  <c:v>8.85642677824268</c:v>
                </c:pt>
                <c:pt idx="11">
                  <c:v>9.8446276150627607</c:v>
                </c:pt>
                <c:pt idx="12">
                  <c:v>10.718142259414225</c:v>
                </c:pt>
                <c:pt idx="13">
                  <c:v>11.730401673640166</c:v>
                </c:pt>
                <c:pt idx="14">
                  <c:v>12.729062761506276</c:v>
                </c:pt>
                <c:pt idx="15">
                  <c:v>13.701991631799165</c:v>
                </c:pt>
                <c:pt idx="16">
                  <c:v>14.834878661087867</c:v>
                </c:pt>
                <c:pt idx="17">
                  <c:v>15.668686192468616</c:v>
                </c:pt>
                <c:pt idx="18">
                  <c:v>17.221364016736405</c:v>
                </c:pt>
                <c:pt idx="19">
                  <c:v>18.008100418410045</c:v>
                </c:pt>
                <c:pt idx="20">
                  <c:v>19.550820083682012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1C-7849-8620-EB8EEC4C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Release'!$B$34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Release'!$C$28:$W$28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Release'!$C$25:$W$25</c:f>
              <c:numCache>
                <c:formatCode>0.000</c:formatCode>
                <c:ptCount val="21"/>
                <c:pt idx="0">
                  <c:v>-8.891380753138078</c:v>
                </c:pt>
                <c:pt idx="1">
                  <c:v>-4.9445188284518835</c:v>
                </c:pt>
                <c:pt idx="2">
                  <c:v>6.6778242677823979E-2</c:v>
                </c:pt>
                <c:pt idx="3">
                  <c:v>1.9291213389121304</c:v>
                </c:pt>
                <c:pt idx="4">
                  <c:v>4.3215899581589952</c:v>
                </c:pt>
                <c:pt idx="5">
                  <c:v>6.5743096234309633</c:v>
                </c:pt>
                <c:pt idx="6">
                  <c:v>9.0232635983263609</c:v>
                </c:pt>
                <c:pt idx="7">
                  <c:v>12.853807531380749</c:v>
                </c:pt>
                <c:pt idx="8">
                  <c:v>16.05422594142259</c:v>
                </c:pt>
                <c:pt idx="9">
                  <c:v>19.630376569037654</c:v>
                </c:pt>
                <c:pt idx="10">
                  <c:v>21.72702928870293</c:v>
                </c:pt>
                <c:pt idx="11">
                  <c:v>23.677656903765694</c:v>
                </c:pt>
                <c:pt idx="12">
                  <c:v>26.494393305439338</c:v>
                </c:pt>
                <c:pt idx="13">
                  <c:v>27.652133891213385</c:v>
                </c:pt>
                <c:pt idx="14">
                  <c:v>31.863012552301257</c:v>
                </c:pt>
                <c:pt idx="15">
                  <c:v>34.431631799163185</c:v>
                </c:pt>
                <c:pt idx="16">
                  <c:v>38.379748953974904</c:v>
                </c:pt>
                <c:pt idx="17">
                  <c:v>39.66719665271966</c:v>
                </c:pt>
                <c:pt idx="18">
                  <c:v>43.838744769874481</c:v>
                </c:pt>
                <c:pt idx="19">
                  <c:v>45.520753138075314</c:v>
                </c:pt>
                <c:pt idx="20">
                  <c:v>47.048368200836826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4-F04E-84C3-8068895D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17</xdr:row>
      <xdr:rowOff>165100</xdr:rowOff>
    </xdr:from>
    <xdr:to>
      <xdr:col>3</xdr:col>
      <xdr:colOff>660400</xdr:colOff>
      <xdr:row>27</xdr:row>
      <xdr:rowOff>85133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687345</xdr:colOff>
      <xdr:row>39</xdr:row>
      <xdr:rowOff>63885</xdr:rowOff>
    </xdr:from>
    <xdr:to>
      <xdr:col>17</xdr:col>
      <xdr:colOff>3078</xdr:colOff>
      <xdr:row>56</xdr:row>
      <xdr:rowOff>90054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F892D-120B-BB2C-BCE2-FF6F698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596349</xdr:colOff>
      <xdr:row>39</xdr:row>
      <xdr:rowOff>0</xdr:rowOff>
    </xdr:from>
    <xdr:to>
      <xdr:col>27</xdr:col>
      <xdr:colOff>409038</xdr:colOff>
      <xdr:row>56</xdr:row>
      <xdr:rowOff>26169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1838E-20D8-5449-9F18-F214C35A5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317500</xdr:colOff>
      <xdr:row>27</xdr:row>
      <xdr:rowOff>76200</xdr:rowOff>
    </xdr:from>
    <xdr:to>
      <xdr:col>38</xdr:col>
      <xdr:colOff>612789</xdr:colOff>
      <xdr:row>41</xdr:row>
      <xdr:rowOff>76969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03E736-0F1C-B945-8FA1-5DDDC9943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0426_R_ 30rpm_1um_500_34oC_3h"/>
      <sheetName val="240426_R_ 30rpm_1um_500_34oC"/>
      <sheetName val="Flow sensor data"/>
      <sheetName val="270426_R_1um_500_34_17P (2)"/>
      <sheetName val="270426_R_1um_500_34_17P"/>
      <sheetName val="280426_R_0_4um_500_34_10_17P"/>
      <sheetName val="Compilation"/>
      <sheetName val="290426_15Vs17_Setup 2_32oC"/>
      <sheetName val="08052026_Glycerol parralelisati"/>
      <sheetName val="Compile ug MB ALL Release"/>
    </sheetNames>
    <sheetDataSet>
      <sheetData sheetId="0"/>
      <sheetData sheetId="1">
        <row r="34">
          <cell r="C34">
            <v>0</v>
          </cell>
        </row>
        <row r="51">
          <cell r="H51">
            <v>20</v>
          </cell>
          <cell r="I51">
            <v>15</v>
          </cell>
          <cell r="J51">
            <v>10</v>
          </cell>
          <cell r="K51">
            <v>7.5</v>
          </cell>
          <cell r="L51">
            <v>5</v>
          </cell>
          <cell r="M51">
            <v>2.5</v>
          </cell>
          <cell r="N51">
            <v>0</v>
          </cell>
        </row>
        <row r="53">
          <cell r="H53">
            <v>2.375</v>
          </cell>
          <cell r="I53">
            <v>1.9119999999999999</v>
          </cell>
          <cell r="J53">
            <v>1.3939999999999999</v>
          </cell>
          <cell r="K53">
            <v>0.98099999999999987</v>
          </cell>
          <cell r="L53">
            <v>0.68699999999999994</v>
          </cell>
          <cell r="M53">
            <v>0.377</v>
          </cell>
          <cell r="N53">
            <v>0</v>
          </cell>
        </row>
      </sheetData>
      <sheetData sheetId="2"/>
      <sheetData sheetId="3">
        <row r="3">
          <cell r="C3">
            <v>17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zoomScale="125" workbookViewId="0">
      <selection activeCell="D1" sqref="D1:AA1"/>
    </sheetView>
  </sheetViews>
  <sheetFormatPr baseColWidth="10" defaultRowHeight="15"/>
  <sheetData>
    <row r="1" spans="1:27">
      <c r="A1" t="s">
        <v>58</v>
      </c>
      <c r="D1" s="28" t="s">
        <v>57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3" spans="1:27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7">
      <c r="A4" s="2" t="s">
        <v>0</v>
      </c>
      <c r="B4" s="14">
        <v>6.5000000000000002E-2</v>
      </c>
      <c r="C4" s="14">
        <v>0.1</v>
      </c>
      <c r="D4" s="14">
        <v>0.13</v>
      </c>
      <c r="E4" s="14">
        <v>0.151</v>
      </c>
      <c r="F4" s="14">
        <v>0.16900000000000001</v>
      </c>
      <c r="G4" s="14">
        <v>0.185</v>
      </c>
      <c r="H4" s="14">
        <v>0.19700000000000001</v>
      </c>
      <c r="I4" s="14">
        <v>0.216</v>
      </c>
      <c r="J4" s="14">
        <v>0.23200000000000001</v>
      </c>
      <c r="K4" s="14">
        <v>0.255</v>
      </c>
      <c r="L4" s="14">
        <v>0.27300000000000002</v>
      </c>
      <c r="M4" s="14">
        <v>0.28699999999999998</v>
      </c>
      <c r="N4" s="3">
        <v>660</v>
      </c>
    </row>
    <row r="5" spans="1:27">
      <c r="A5" s="2" t="s">
        <v>1</v>
      </c>
      <c r="B5" s="14">
        <v>6.6000000000000003E-2</v>
      </c>
      <c r="C5" s="14">
        <v>0.114</v>
      </c>
      <c r="D5" s="14">
        <v>0.13600000000000001</v>
      </c>
      <c r="E5" s="14">
        <v>0.158</v>
      </c>
      <c r="F5" s="14">
        <v>0.16900000000000001</v>
      </c>
      <c r="G5" s="14">
        <v>0.191</v>
      </c>
      <c r="H5" s="14">
        <v>0.20699999999999999</v>
      </c>
      <c r="I5" s="14">
        <v>0.22</v>
      </c>
      <c r="J5" s="14">
        <v>0.23499999999999999</v>
      </c>
      <c r="K5" s="14">
        <v>0.249</v>
      </c>
      <c r="L5" s="14">
        <v>0.26800000000000002</v>
      </c>
      <c r="M5" s="14">
        <v>0.28599999999999998</v>
      </c>
      <c r="N5" s="3">
        <v>660</v>
      </c>
    </row>
    <row r="6" spans="1:27">
      <c r="A6" s="2" t="s">
        <v>2</v>
      </c>
      <c r="B6" s="14">
        <v>7.3999999999999996E-2</v>
      </c>
      <c r="C6" s="14">
        <v>0.105</v>
      </c>
      <c r="D6" s="14">
        <v>0.13400000000000001</v>
      </c>
      <c r="E6" s="14">
        <v>0.14799999999999999</v>
      </c>
      <c r="F6" s="14">
        <v>0.16300000000000001</v>
      </c>
      <c r="G6" s="14">
        <v>0.16900000000000001</v>
      </c>
      <c r="H6" s="14">
        <v>0.186</v>
      </c>
      <c r="I6" s="14">
        <v>0.2</v>
      </c>
      <c r="J6" s="14">
        <v>0.218</v>
      </c>
      <c r="K6" s="14">
        <v>0.23899999999999999</v>
      </c>
      <c r="L6" s="14">
        <v>0.25900000000000001</v>
      </c>
      <c r="M6" s="14">
        <v>0.27200000000000002</v>
      </c>
      <c r="N6" s="3">
        <v>660</v>
      </c>
    </row>
    <row r="7" spans="1:27">
      <c r="A7" s="2" t="s">
        <v>3</v>
      </c>
      <c r="B7" s="14">
        <v>7.6999999999999999E-2</v>
      </c>
      <c r="C7" s="14">
        <v>0.10100000000000001</v>
      </c>
      <c r="D7" s="14">
        <v>0.13100000000000001</v>
      </c>
      <c r="E7" s="14">
        <v>0.14199999999999999</v>
      </c>
      <c r="F7" s="14">
        <v>0.156</v>
      </c>
      <c r="G7" s="14">
        <v>0.16900000000000001</v>
      </c>
      <c r="H7" s="14">
        <v>0.183</v>
      </c>
      <c r="I7" s="14">
        <v>0.20499999999999999</v>
      </c>
      <c r="J7" s="14">
        <v>0.223</v>
      </c>
      <c r="K7" s="14">
        <v>0.24299999999999999</v>
      </c>
      <c r="L7" s="14">
        <v>0.254</v>
      </c>
      <c r="M7" s="14">
        <v>0.26400000000000001</v>
      </c>
      <c r="N7" s="3">
        <v>660</v>
      </c>
    </row>
    <row r="8" spans="1:27">
      <c r="A8" s="2" t="s">
        <v>4</v>
      </c>
      <c r="B8" s="14">
        <v>0.29199999999999998</v>
      </c>
      <c r="C8" s="14">
        <v>0.307</v>
      </c>
      <c r="D8" s="14">
        <v>0.32100000000000001</v>
      </c>
      <c r="E8" s="14">
        <v>0.33300000000000002</v>
      </c>
      <c r="F8" s="14">
        <v>0.34599999999999997</v>
      </c>
      <c r="G8" s="14">
        <v>0.36499999999999999</v>
      </c>
      <c r="H8" s="14">
        <v>0.38300000000000001</v>
      </c>
      <c r="I8" s="14">
        <v>0.40200000000000002</v>
      </c>
      <c r="J8" s="14">
        <v>0.43099999999999999</v>
      </c>
      <c r="K8" s="14">
        <v>0.45900000000000002</v>
      </c>
      <c r="L8" s="14">
        <v>0.48599999999999999</v>
      </c>
      <c r="M8" s="14">
        <v>0.51600000000000001</v>
      </c>
      <c r="N8" s="3">
        <v>660</v>
      </c>
    </row>
    <row r="9" spans="1:27">
      <c r="A9" s="2" t="s">
        <v>5</v>
      </c>
      <c r="B9" s="14">
        <v>0.29099999999999998</v>
      </c>
      <c r="C9" s="14">
        <v>0.316</v>
      </c>
      <c r="D9" s="14">
        <v>0.32100000000000001</v>
      </c>
      <c r="E9" s="14">
        <v>0.33600000000000002</v>
      </c>
      <c r="F9" s="14">
        <v>0.35</v>
      </c>
      <c r="G9" s="14">
        <v>0.36099999999999999</v>
      </c>
      <c r="H9" s="14">
        <v>0.38100000000000001</v>
      </c>
      <c r="I9" s="14">
        <v>0.38900000000000001</v>
      </c>
      <c r="J9" s="14">
        <v>0.41</v>
      </c>
      <c r="K9" s="14">
        <v>0.437</v>
      </c>
      <c r="L9" s="14">
        <v>0.45900000000000002</v>
      </c>
      <c r="M9" s="14">
        <v>0.51100000000000001</v>
      </c>
      <c r="N9" s="3">
        <v>660</v>
      </c>
    </row>
    <row r="10" spans="1:27">
      <c r="A10" s="2" t="s">
        <v>6</v>
      </c>
      <c r="B10" s="14">
        <v>0.29499999999999998</v>
      </c>
      <c r="C10" s="14">
        <v>0.30499999999999999</v>
      </c>
      <c r="D10" s="14">
        <v>0.316</v>
      </c>
      <c r="E10" s="14">
        <v>0.32700000000000001</v>
      </c>
      <c r="F10" s="14">
        <v>0.33900000000000002</v>
      </c>
      <c r="G10" s="14">
        <v>0.34499999999999997</v>
      </c>
      <c r="H10" s="14">
        <v>0.371</v>
      </c>
      <c r="I10" s="14">
        <v>0.373</v>
      </c>
      <c r="J10" s="14">
        <v>0.40200000000000002</v>
      </c>
      <c r="K10" s="14">
        <v>0.42199999999999999</v>
      </c>
      <c r="L10" s="14">
        <v>0.44900000000000001</v>
      </c>
      <c r="M10" s="14">
        <v>0.51200000000000001</v>
      </c>
      <c r="N10" s="3">
        <v>660</v>
      </c>
    </row>
    <row r="11" spans="1:27">
      <c r="A11" s="2" t="s">
        <v>7</v>
      </c>
      <c r="B11" s="14">
        <v>0.27900000000000003</v>
      </c>
      <c r="C11" s="14">
        <v>0.28399999999999997</v>
      </c>
      <c r="D11" s="14">
        <v>0.307</v>
      </c>
      <c r="E11" s="14">
        <v>0.32</v>
      </c>
      <c r="F11" s="14">
        <v>0.34100000000000003</v>
      </c>
      <c r="G11" s="14">
        <v>0.34599999999999997</v>
      </c>
      <c r="H11" s="14">
        <v>0.36799999999999999</v>
      </c>
      <c r="I11" s="14">
        <v>0.375</v>
      </c>
      <c r="J11" s="14">
        <v>0.38100000000000001</v>
      </c>
      <c r="K11" s="14">
        <v>0.39600000000000002</v>
      </c>
      <c r="L11" s="14">
        <v>0.433</v>
      </c>
      <c r="M11" s="14">
        <v>0.49199999999999999</v>
      </c>
      <c r="N11" s="3">
        <v>660</v>
      </c>
    </row>
    <row r="20" spans="2:1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2:1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</sheetData>
  <mergeCells count="1">
    <mergeCell ref="D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topLeftCell="A12" zoomScale="172" workbookViewId="0">
      <selection activeCell="B37" sqref="B37:B40"/>
    </sheetView>
  </sheetViews>
  <sheetFormatPr baseColWidth="10" defaultColWidth="8.83203125" defaultRowHeight="15"/>
  <cols>
    <col min="1" max="1" width="12" customWidth="1"/>
    <col min="2" max="2" width="10.33203125" customWidth="1"/>
  </cols>
  <sheetData>
    <row r="1" spans="1:26">
      <c r="C1" s="28" t="s">
        <v>57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3" spans="1:26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>
      <c r="A4" s="2" t="s">
        <v>0</v>
      </c>
      <c r="B4" s="14">
        <f>'Sheet 1'!B4</f>
        <v>6.5000000000000002E-2</v>
      </c>
      <c r="C4" s="14">
        <f>'Sheet 1'!C4</f>
        <v>0.1</v>
      </c>
      <c r="D4" s="14">
        <f>'Sheet 1'!D4</f>
        <v>0.13</v>
      </c>
      <c r="E4" s="14">
        <f>'Sheet 1'!E4</f>
        <v>0.151</v>
      </c>
      <c r="F4" s="14">
        <f>'Sheet 1'!F4</f>
        <v>0.16900000000000001</v>
      </c>
      <c r="G4" s="14">
        <f>'Sheet 1'!G4</f>
        <v>0.185</v>
      </c>
      <c r="H4" s="14">
        <f>'Sheet 1'!H4</f>
        <v>0.19700000000000001</v>
      </c>
      <c r="I4" s="14">
        <f>'Sheet 1'!I4</f>
        <v>0.216</v>
      </c>
      <c r="J4" s="14">
        <f>'Sheet 1'!J4</f>
        <v>0.23200000000000001</v>
      </c>
      <c r="K4" s="14">
        <f>'Sheet 1'!K4</f>
        <v>0.255</v>
      </c>
      <c r="L4" s="14">
        <f>'Sheet 1'!L4</f>
        <v>0.27300000000000002</v>
      </c>
      <c r="M4" s="14">
        <f>'Sheet 1'!M4</f>
        <v>0.28699999999999998</v>
      </c>
      <c r="N4" s="3">
        <v>660</v>
      </c>
    </row>
    <row r="5" spans="1:26">
      <c r="A5" s="2" t="s">
        <v>1</v>
      </c>
      <c r="B5" s="14">
        <f>'Sheet 1'!B5</f>
        <v>6.6000000000000003E-2</v>
      </c>
      <c r="C5" s="14">
        <f>'Sheet 1'!C5</f>
        <v>0.114</v>
      </c>
      <c r="D5" s="14">
        <f>'Sheet 1'!D5</f>
        <v>0.13600000000000001</v>
      </c>
      <c r="E5" s="14">
        <f>'Sheet 1'!E5</f>
        <v>0.158</v>
      </c>
      <c r="F5" s="14">
        <f>'Sheet 1'!F5</f>
        <v>0.16900000000000001</v>
      </c>
      <c r="G5" s="14">
        <f>'Sheet 1'!G5</f>
        <v>0.191</v>
      </c>
      <c r="H5" s="14">
        <f>'Sheet 1'!H5</f>
        <v>0.20699999999999999</v>
      </c>
      <c r="I5" s="14">
        <f>'Sheet 1'!I5</f>
        <v>0.22</v>
      </c>
      <c r="J5" s="14">
        <f>'Sheet 1'!J5</f>
        <v>0.23499999999999999</v>
      </c>
      <c r="K5" s="14">
        <f>'Sheet 1'!K5</f>
        <v>0.249</v>
      </c>
      <c r="L5" s="14">
        <f>'Sheet 1'!L5</f>
        <v>0.26800000000000002</v>
      </c>
      <c r="M5" s="14">
        <f>'Sheet 1'!M5</f>
        <v>0.28599999999999998</v>
      </c>
      <c r="N5" s="3">
        <v>660</v>
      </c>
    </row>
    <row r="6" spans="1:26">
      <c r="A6" s="2" t="s">
        <v>2</v>
      </c>
      <c r="B6" s="14">
        <f>'Sheet 1'!B6</f>
        <v>7.3999999999999996E-2</v>
      </c>
      <c r="C6" s="14">
        <f>'Sheet 1'!C6</f>
        <v>0.105</v>
      </c>
      <c r="D6" s="14">
        <f>'Sheet 1'!D6</f>
        <v>0.13400000000000001</v>
      </c>
      <c r="E6" s="14">
        <f>'Sheet 1'!E6</f>
        <v>0.14799999999999999</v>
      </c>
      <c r="F6" s="14">
        <f>'Sheet 1'!F6</f>
        <v>0.16300000000000001</v>
      </c>
      <c r="G6" s="14">
        <f>'Sheet 1'!G6</f>
        <v>0.16900000000000001</v>
      </c>
      <c r="H6" s="14">
        <f>'Sheet 1'!H6</f>
        <v>0.186</v>
      </c>
      <c r="I6" s="14">
        <f>'Sheet 1'!I6</f>
        <v>0.2</v>
      </c>
      <c r="J6" s="14">
        <f>'Sheet 1'!J6</f>
        <v>0.218</v>
      </c>
      <c r="K6" s="14">
        <f>'Sheet 1'!K6</f>
        <v>0.23899999999999999</v>
      </c>
      <c r="L6" s="14">
        <f>'Sheet 1'!L6</f>
        <v>0.25900000000000001</v>
      </c>
      <c r="M6" s="14">
        <f>'Sheet 1'!M6</f>
        <v>0.27200000000000002</v>
      </c>
      <c r="N6" s="3">
        <v>660</v>
      </c>
    </row>
    <row r="7" spans="1:26">
      <c r="A7" s="2" t="s">
        <v>3</v>
      </c>
      <c r="B7" s="14">
        <f>'Sheet 1'!B7</f>
        <v>7.6999999999999999E-2</v>
      </c>
      <c r="C7" s="14">
        <f>'Sheet 1'!C7</f>
        <v>0.10100000000000001</v>
      </c>
      <c r="D7" s="14">
        <f>'Sheet 1'!D7</f>
        <v>0.13100000000000001</v>
      </c>
      <c r="E7" s="14">
        <f>'Sheet 1'!E7</f>
        <v>0.14199999999999999</v>
      </c>
      <c r="F7" s="14">
        <f>'Sheet 1'!F7</f>
        <v>0.156</v>
      </c>
      <c r="G7" s="14">
        <f>'Sheet 1'!G7</f>
        <v>0.16900000000000001</v>
      </c>
      <c r="H7" s="14">
        <f>'Sheet 1'!H7</f>
        <v>0.183</v>
      </c>
      <c r="I7" s="14">
        <f>'Sheet 1'!I7</f>
        <v>0.20499999999999999</v>
      </c>
      <c r="J7" s="14">
        <f>'Sheet 1'!J7</f>
        <v>0.223</v>
      </c>
      <c r="K7" s="14">
        <f>'Sheet 1'!K7</f>
        <v>0.24299999999999999</v>
      </c>
      <c r="L7" s="14">
        <f>'Sheet 1'!L7</f>
        <v>0.254</v>
      </c>
      <c r="M7" s="14">
        <f>'Sheet 1'!M7</f>
        <v>0.26400000000000001</v>
      </c>
      <c r="N7" s="3">
        <v>660</v>
      </c>
    </row>
    <row r="8" spans="1:26">
      <c r="A8" s="2" t="s">
        <v>4</v>
      </c>
      <c r="B8" s="14">
        <f>'Sheet 1'!B8</f>
        <v>0.29199999999999998</v>
      </c>
      <c r="C8" s="14">
        <f>'Sheet 1'!C8</f>
        <v>0.307</v>
      </c>
      <c r="D8" s="14">
        <f>'Sheet 1'!D8</f>
        <v>0.32100000000000001</v>
      </c>
      <c r="E8" s="14">
        <f>'Sheet 1'!E8</f>
        <v>0.33300000000000002</v>
      </c>
      <c r="F8" s="14">
        <f>'Sheet 1'!F8</f>
        <v>0.34599999999999997</v>
      </c>
      <c r="G8" s="14">
        <f>'Sheet 1'!G8</f>
        <v>0.36499999999999999</v>
      </c>
      <c r="H8" s="14">
        <f>'Sheet 1'!H8</f>
        <v>0.38300000000000001</v>
      </c>
      <c r="I8" s="14">
        <f>'Sheet 1'!I8</f>
        <v>0.40200000000000002</v>
      </c>
      <c r="J8" s="14">
        <f>'Sheet 1'!J8</f>
        <v>0.43099999999999999</v>
      </c>
      <c r="K8" s="14">
        <f>'Sheet 1'!K8</f>
        <v>0.45900000000000002</v>
      </c>
      <c r="L8" s="14">
        <f>'Sheet 1'!L8</f>
        <v>0.48599999999999999</v>
      </c>
      <c r="M8" s="14">
        <f>'Sheet 1'!M8</f>
        <v>0.51600000000000001</v>
      </c>
      <c r="N8" s="3">
        <v>660</v>
      </c>
    </row>
    <row r="9" spans="1:26">
      <c r="A9" s="2" t="s">
        <v>5</v>
      </c>
      <c r="B9" s="14">
        <f>'Sheet 1'!B9</f>
        <v>0.29099999999999998</v>
      </c>
      <c r="C9" s="14">
        <f>'Sheet 1'!C9</f>
        <v>0.316</v>
      </c>
      <c r="D9" s="14">
        <f>'Sheet 1'!D9</f>
        <v>0.32100000000000001</v>
      </c>
      <c r="E9" s="14">
        <f>'Sheet 1'!E9</f>
        <v>0.33600000000000002</v>
      </c>
      <c r="F9" s="14">
        <f>'Sheet 1'!F9</f>
        <v>0.35</v>
      </c>
      <c r="G9" s="14">
        <f>'Sheet 1'!G9</f>
        <v>0.36099999999999999</v>
      </c>
      <c r="H9" s="14">
        <f>'Sheet 1'!H9</f>
        <v>0.38100000000000001</v>
      </c>
      <c r="I9" s="14">
        <f>'Sheet 1'!I9</f>
        <v>0.38900000000000001</v>
      </c>
      <c r="J9" s="14">
        <f>'Sheet 1'!J9</f>
        <v>0.41</v>
      </c>
      <c r="K9" s="14">
        <f>'Sheet 1'!K9</f>
        <v>0.437</v>
      </c>
      <c r="L9" s="14">
        <f>'Sheet 1'!L9</f>
        <v>0.45900000000000002</v>
      </c>
      <c r="M9" s="14">
        <f>'Sheet 1'!M9</f>
        <v>0.51100000000000001</v>
      </c>
      <c r="N9" s="3">
        <v>660</v>
      </c>
    </row>
    <row r="10" spans="1:26">
      <c r="A10" s="2" t="s">
        <v>6</v>
      </c>
      <c r="B10" s="14">
        <f>'Sheet 1'!B10</f>
        <v>0.29499999999999998</v>
      </c>
      <c r="C10" s="14">
        <f>'Sheet 1'!C10</f>
        <v>0.30499999999999999</v>
      </c>
      <c r="D10" s="14">
        <f>'Sheet 1'!D10</f>
        <v>0.316</v>
      </c>
      <c r="E10" s="14">
        <f>'Sheet 1'!E10</f>
        <v>0.32700000000000001</v>
      </c>
      <c r="F10" s="14">
        <f>'Sheet 1'!F10</f>
        <v>0.33900000000000002</v>
      </c>
      <c r="G10" s="14">
        <f>'Sheet 1'!G10</f>
        <v>0.34499999999999997</v>
      </c>
      <c r="H10" s="14">
        <f>'Sheet 1'!H10</f>
        <v>0.371</v>
      </c>
      <c r="I10" s="14">
        <f>'Sheet 1'!I10</f>
        <v>0.373</v>
      </c>
      <c r="J10" s="14">
        <f>'Sheet 1'!J10</f>
        <v>0.40200000000000002</v>
      </c>
      <c r="K10" s="14">
        <f>'Sheet 1'!K10</f>
        <v>0.42199999999999999</v>
      </c>
      <c r="L10" s="14">
        <f>'Sheet 1'!L10</f>
        <v>0.44900000000000001</v>
      </c>
      <c r="M10" s="14">
        <f>'Sheet 1'!M10</f>
        <v>0.51200000000000001</v>
      </c>
      <c r="N10" s="3">
        <v>660</v>
      </c>
    </row>
    <row r="11" spans="1:26">
      <c r="A11" s="2" t="s">
        <v>7</v>
      </c>
      <c r="B11" s="14">
        <f>'Sheet 1'!B11</f>
        <v>0.27900000000000003</v>
      </c>
      <c r="C11" s="14">
        <f>'Sheet 1'!C11</f>
        <v>0.28399999999999997</v>
      </c>
      <c r="D11" s="14">
        <f>'Sheet 1'!D11</f>
        <v>0.307</v>
      </c>
      <c r="E11" s="14">
        <f>'Sheet 1'!E11</f>
        <v>0.32</v>
      </c>
      <c r="F11" s="14">
        <f>'Sheet 1'!F11</f>
        <v>0.34100000000000003</v>
      </c>
      <c r="G11" s="14">
        <f>'Sheet 1'!G11</f>
        <v>0.34599999999999997</v>
      </c>
      <c r="H11" s="14">
        <f>'Sheet 1'!H11</f>
        <v>0.36799999999999999</v>
      </c>
      <c r="I11" s="14">
        <f>'Sheet 1'!I11</f>
        <v>0.375</v>
      </c>
      <c r="J11" s="14">
        <f>'Sheet 1'!J11</f>
        <v>0.38100000000000001</v>
      </c>
      <c r="K11" s="14">
        <f>'Sheet 1'!K11</f>
        <v>0.39600000000000002</v>
      </c>
      <c r="L11" s="14">
        <f>'Sheet 1'!L11</f>
        <v>0.433</v>
      </c>
      <c r="M11" s="14">
        <f>'Sheet 1'!M11</f>
        <v>0.49199999999999999</v>
      </c>
      <c r="N11" s="3">
        <v>660</v>
      </c>
    </row>
    <row r="16" spans="1:26" ht="16" customHeight="1">
      <c r="A16" s="1" t="s">
        <v>8</v>
      </c>
      <c r="B16" s="5">
        <v>17</v>
      </c>
      <c r="C16" s="5">
        <f t="shared" ref="C16:M16" si="0">B16+17</f>
        <v>34</v>
      </c>
      <c r="D16" s="5">
        <f t="shared" si="0"/>
        <v>51</v>
      </c>
      <c r="E16" s="5">
        <f t="shared" si="0"/>
        <v>68</v>
      </c>
      <c r="F16" s="5">
        <f t="shared" si="0"/>
        <v>85</v>
      </c>
      <c r="G16" s="5">
        <f t="shared" si="0"/>
        <v>102</v>
      </c>
      <c r="H16" s="5">
        <f t="shared" si="0"/>
        <v>119</v>
      </c>
      <c r="I16" s="5">
        <f t="shared" si="0"/>
        <v>136</v>
      </c>
      <c r="J16" s="5">
        <f t="shared" si="0"/>
        <v>153</v>
      </c>
      <c r="K16" s="5">
        <f t="shared" si="0"/>
        <v>170</v>
      </c>
      <c r="L16" s="5">
        <f t="shared" si="0"/>
        <v>187</v>
      </c>
      <c r="M16" s="5">
        <f t="shared" si="0"/>
        <v>204</v>
      </c>
    </row>
    <row r="17" spans="1:14">
      <c r="A17" s="2" t="s">
        <v>9</v>
      </c>
      <c r="B17" s="5">
        <f t="shared" ref="B17:M17" si="1">B4</f>
        <v>6.5000000000000002E-2</v>
      </c>
      <c r="C17" s="5">
        <f t="shared" si="1"/>
        <v>0.1</v>
      </c>
      <c r="D17" s="5">
        <f t="shared" si="1"/>
        <v>0.13</v>
      </c>
      <c r="E17" s="5">
        <f t="shared" si="1"/>
        <v>0.151</v>
      </c>
      <c r="F17" s="5">
        <f t="shared" si="1"/>
        <v>0.16900000000000001</v>
      </c>
      <c r="G17" s="5">
        <f t="shared" si="1"/>
        <v>0.185</v>
      </c>
      <c r="H17" s="5">
        <f t="shared" si="1"/>
        <v>0.19700000000000001</v>
      </c>
      <c r="I17" s="5">
        <f t="shared" si="1"/>
        <v>0.216</v>
      </c>
      <c r="J17" s="5">
        <f t="shared" si="1"/>
        <v>0.23200000000000001</v>
      </c>
      <c r="K17" s="5">
        <f t="shared" si="1"/>
        <v>0.255</v>
      </c>
      <c r="L17" s="5">
        <f t="shared" si="1"/>
        <v>0.27300000000000002</v>
      </c>
      <c r="M17" s="5">
        <f t="shared" si="1"/>
        <v>0.28699999999999998</v>
      </c>
    </row>
    <row r="18" spans="1:14">
      <c r="A18" s="2" t="s">
        <v>10</v>
      </c>
      <c r="B18" s="5">
        <f t="shared" ref="B18:M18" si="2">B5</f>
        <v>6.6000000000000003E-2</v>
      </c>
      <c r="C18" s="5">
        <f t="shared" si="2"/>
        <v>0.114</v>
      </c>
      <c r="D18" s="5">
        <f t="shared" si="2"/>
        <v>0.13600000000000001</v>
      </c>
      <c r="E18" s="5">
        <f t="shared" si="2"/>
        <v>0.158</v>
      </c>
      <c r="F18" s="5">
        <f t="shared" si="2"/>
        <v>0.16900000000000001</v>
      </c>
      <c r="G18" s="5">
        <f t="shared" si="2"/>
        <v>0.191</v>
      </c>
      <c r="H18" s="5">
        <f t="shared" si="2"/>
        <v>0.20699999999999999</v>
      </c>
      <c r="I18" s="5">
        <f t="shared" si="2"/>
        <v>0.22</v>
      </c>
      <c r="J18" s="5">
        <f t="shared" si="2"/>
        <v>0.23499999999999999</v>
      </c>
      <c r="K18" s="5">
        <f t="shared" si="2"/>
        <v>0.249</v>
      </c>
      <c r="L18" s="5">
        <f t="shared" si="2"/>
        <v>0.26800000000000002</v>
      </c>
      <c r="M18" s="5">
        <f t="shared" si="2"/>
        <v>0.28599999999999998</v>
      </c>
    </row>
    <row r="19" spans="1:14">
      <c r="A19" s="2" t="s">
        <v>11</v>
      </c>
      <c r="B19" s="5">
        <f t="shared" ref="B19:M19" si="3">B6</f>
        <v>7.3999999999999996E-2</v>
      </c>
      <c r="C19" s="5">
        <f t="shared" si="3"/>
        <v>0.105</v>
      </c>
      <c r="D19" s="5">
        <f t="shared" si="3"/>
        <v>0.13400000000000001</v>
      </c>
      <c r="E19" s="5">
        <f t="shared" si="3"/>
        <v>0.14799999999999999</v>
      </c>
      <c r="F19" s="5">
        <f t="shared" si="3"/>
        <v>0.16300000000000001</v>
      </c>
      <c r="G19" s="5">
        <f t="shared" si="3"/>
        <v>0.16900000000000001</v>
      </c>
      <c r="H19" s="5">
        <f t="shared" si="3"/>
        <v>0.186</v>
      </c>
      <c r="I19" s="5">
        <f t="shared" si="3"/>
        <v>0.2</v>
      </c>
      <c r="J19" s="5">
        <f t="shared" si="3"/>
        <v>0.218</v>
      </c>
      <c r="K19" s="5">
        <f t="shared" si="3"/>
        <v>0.23899999999999999</v>
      </c>
      <c r="L19" s="5">
        <f t="shared" si="3"/>
        <v>0.25900000000000001</v>
      </c>
      <c r="M19" s="5">
        <f t="shared" si="3"/>
        <v>0.27200000000000002</v>
      </c>
    </row>
    <row r="20" spans="1:14">
      <c r="A20" s="2" t="s">
        <v>12</v>
      </c>
      <c r="B20" s="5">
        <f t="shared" ref="B20:M20" si="4">B7</f>
        <v>7.6999999999999999E-2</v>
      </c>
      <c r="C20" s="5">
        <f t="shared" si="4"/>
        <v>0.10100000000000001</v>
      </c>
      <c r="D20" s="5">
        <f t="shared" si="4"/>
        <v>0.13100000000000001</v>
      </c>
      <c r="E20" s="5">
        <f t="shared" si="4"/>
        <v>0.14199999999999999</v>
      </c>
      <c r="F20" s="5">
        <f t="shared" si="4"/>
        <v>0.156</v>
      </c>
      <c r="G20" s="5">
        <f t="shared" si="4"/>
        <v>0.16900000000000001</v>
      </c>
      <c r="H20" s="5">
        <f t="shared" si="4"/>
        <v>0.183</v>
      </c>
      <c r="I20" s="5">
        <f t="shared" si="4"/>
        <v>0.20499999999999999</v>
      </c>
      <c r="J20" s="5">
        <f t="shared" si="4"/>
        <v>0.223</v>
      </c>
      <c r="K20" s="5">
        <f t="shared" si="4"/>
        <v>0.24299999999999999</v>
      </c>
      <c r="L20" s="5">
        <f t="shared" si="4"/>
        <v>0.254</v>
      </c>
      <c r="M20" s="5">
        <f t="shared" si="4"/>
        <v>0.26400000000000001</v>
      </c>
    </row>
    <row r="22" spans="1:14" ht="16" customHeight="1">
      <c r="A22" s="1" t="s">
        <v>8</v>
      </c>
      <c r="B22" s="5">
        <f>17+M16</f>
        <v>221</v>
      </c>
      <c r="C22" s="5">
        <f t="shared" ref="C22:M22" si="5">B22+17</f>
        <v>238</v>
      </c>
      <c r="D22" s="5">
        <f t="shared" si="5"/>
        <v>255</v>
      </c>
      <c r="E22" s="5">
        <f t="shared" si="5"/>
        <v>272</v>
      </c>
      <c r="F22" s="5">
        <f t="shared" si="5"/>
        <v>289</v>
      </c>
      <c r="G22" s="5">
        <f t="shared" si="5"/>
        <v>306</v>
      </c>
      <c r="H22" s="5">
        <f t="shared" si="5"/>
        <v>323</v>
      </c>
      <c r="I22" s="5">
        <f t="shared" si="5"/>
        <v>340</v>
      </c>
      <c r="J22" s="5">
        <f t="shared" si="5"/>
        <v>357</v>
      </c>
      <c r="K22" s="5">
        <f t="shared" si="5"/>
        <v>374</v>
      </c>
      <c r="L22" s="5">
        <f t="shared" si="5"/>
        <v>391</v>
      </c>
      <c r="M22" s="5">
        <f t="shared" si="5"/>
        <v>408</v>
      </c>
    </row>
    <row r="23" spans="1:14">
      <c r="A23" s="2" t="s">
        <v>13</v>
      </c>
      <c r="B23" s="14">
        <v>0.29199999999999998</v>
      </c>
      <c r="C23" s="14">
        <v>0.307</v>
      </c>
      <c r="D23" s="14">
        <v>0.32100000000000001</v>
      </c>
      <c r="E23" s="14">
        <v>0.33300000000000002</v>
      </c>
      <c r="F23" s="14">
        <v>0.34599999999999997</v>
      </c>
      <c r="G23" s="14">
        <v>0.36499999999999999</v>
      </c>
      <c r="H23" s="14">
        <v>0.38300000000000001</v>
      </c>
      <c r="I23" s="14">
        <v>0.40200000000000002</v>
      </c>
      <c r="J23" s="14">
        <v>0.43099999999999999</v>
      </c>
      <c r="K23" s="14">
        <v>0.45900000000000002</v>
      </c>
      <c r="L23" s="14">
        <v>0.48599999999999999</v>
      </c>
      <c r="M23" s="14">
        <v>0.51600000000000001</v>
      </c>
    </row>
    <row r="24" spans="1:14">
      <c r="A24" s="2" t="s">
        <v>14</v>
      </c>
      <c r="B24" s="14">
        <v>0.29099999999999998</v>
      </c>
      <c r="C24" s="14">
        <v>0.316</v>
      </c>
      <c r="D24" s="14">
        <v>0.32100000000000001</v>
      </c>
      <c r="E24" s="14">
        <v>0.33600000000000002</v>
      </c>
      <c r="F24" s="14">
        <v>0.35</v>
      </c>
      <c r="G24" s="14">
        <v>0.36099999999999999</v>
      </c>
      <c r="H24" s="14">
        <v>0.38100000000000001</v>
      </c>
      <c r="I24" s="14">
        <v>0.38900000000000001</v>
      </c>
      <c r="J24" s="14">
        <v>0.41</v>
      </c>
      <c r="K24" s="14">
        <v>0.437</v>
      </c>
      <c r="L24" s="14">
        <v>0.45900000000000002</v>
      </c>
      <c r="M24" s="14">
        <v>0.51100000000000001</v>
      </c>
    </row>
    <row r="25" spans="1:14">
      <c r="A25" s="2" t="s">
        <v>15</v>
      </c>
      <c r="B25" s="14">
        <v>0.29499999999999998</v>
      </c>
      <c r="C25" s="14">
        <v>0.30499999999999999</v>
      </c>
      <c r="D25" s="14">
        <v>0.316</v>
      </c>
      <c r="E25" s="14">
        <v>0.32700000000000001</v>
      </c>
      <c r="F25" s="14">
        <v>0.33900000000000002</v>
      </c>
      <c r="G25" s="14">
        <v>0.34499999999999997</v>
      </c>
      <c r="H25" s="14">
        <v>0.371</v>
      </c>
      <c r="I25" s="14">
        <v>0.373</v>
      </c>
      <c r="J25" s="14">
        <v>0.40200000000000002</v>
      </c>
      <c r="K25" s="14">
        <v>0.42199999999999999</v>
      </c>
      <c r="L25" s="14">
        <v>0.44900000000000001</v>
      </c>
      <c r="M25" s="14">
        <v>0.51200000000000001</v>
      </c>
    </row>
    <row r="26" spans="1:14">
      <c r="A26" s="2" t="s">
        <v>16</v>
      </c>
      <c r="B26" s="14">
        <v>0.27900000000000003</v>
      </c>
      <c r="C26" s="14">
        <v>0.28399999999999997</v>
      </c>
      <c r="D26" s="14">
        <v>0.307</v>
      </c>
      <c r="E26" s="14">
        <v>0.32</v>
      </c>
      <c r="F26" s="14">
        <v>0.34100000000000003</v>
      </c>
      <c r="G26" s="14">
        <v>0.34599999999999997</v>
      </c>
      <c r="H26" s="14">
        <v>0.36799999999999999</v>
      </c>
      <c r="I26" s="14">
        <v>0.375</v>
      </c>
      <c r="J26" s="14">
        <v>0.38100000000000001</v>
      </c>
      <c r="K26" s="14">
        <v>0.39600000000000002</v>
      </c>
      <c r="L26" s="14">
        <v>0.433</v>
      </c>
      <c r="M26" s="14">
        <v>0.49199999999999999</v>
      </c>
    </row>
    <row r="29" spans="1:14">
      <c r="A29" s="25" t="s">
        <v>17</v>
      </c>
      <c r="B29" s="26"/>
    </row>
    <row r="30" spans="1:14">
      <c r="A30" s="2" t="s">
        <v>18</v>
      </c>
      <c r="B30" s="24" t="s">
        <v>53</v>
      </c>
    </row>
    <row r="31" spans="1:14">
      <c r="A31" s="2" t="s">
        <v>19</v>
      </c>
      <c r="B31" s="24" t="s">
        <v>54</v>
      </c>
    </row>
    <row r="32" spans="1:14">
      <c r="A32" s="2" t="s">
        <v>20</v>
      </c>
      <c r="B32" s="24" t="s">
        <v>55</v>
      </c>
      <c r="N32">
        <f>5*60</f>
        <v>300</v>
      </c>
    </row>
    <row r="33" spans="1:4">
      <c r="A33" s="2" t="s">
        <v>21</v>
      </c>
      <c r="B33" s="24" t="s">
        <v>56</v>
      </c>
    </row>
    <row r="36" spans="1:4">
      <c r="A36" s="25" t="s">
        <v>22</v>
      </c>
      <c r="B36" s="26"/>
    </row>
    <row r="37" spans="1:4">
      <c r="A37" s="2" t="s">
        <v>18</v>
      </c>
      <c r="B37" s="14">
        <v>19</v>
      </c>
    </row>
    <row r="38" spans="1:4">
      <c r="A38" s="2" t="s">
        <v>19</v>
      </c>
      <c r="B38" s="14">
        <v>19.600000000000001</v>
      </c>
    </row>
    <row r="39" spans="1:4">
      <c r="A39" s="2" t="s">
        <v>20</v>
      </c>
      <c r="B39" s="14">
        <v>17.399999999999999</v>
      </c>
    </row>
    <row r="40" spans="1:4">
      <c r="A40" s="2" t="s">
        <v>21</v>
      </c>
      <c r="B40" s="14">
        <v>20.2</v>
      </c>
    </row>
    <row r="43" spans="1:4">
      <c r="A43" s="25" t="s">
        <v>23</v>
      </c>
      <c r="B43" s="26"/>
    </row>
    <row r="44" spans="1:4">
      <c r="A44" s="2" t="s">
        <v>18</v>
      </c>
      <c r="B44" s="8">
        <v>0.5</v>
      </c>
      <c r="C44">
        <v>250</v>
      </c>
      <c r="D44" t="s">
        <v>24</v>
      </c>
    </row>
    <row r="45" spans="1:4">
      <c r="A45" s="2" t="s">
        <v>19</v>
      </c>
      <c r="B45" s="8">
        <v>0.5</v>
      </c>
      <c r="C45">
        <v>250</v>
      </c>
      <c r="D45" t="s">
        <v>24</v>
      </c>
    </row>
    <row r="46" spans="1:4">
      <c r="A46" s="2" t="s">
        <v>20</v>
      </c>
      <c r="B46" s="8">
        <v>0.5</v>
      </c>
      <c r="C46">
        <v>250</v>
      </c>
      <c r="D46" t="s">
        <v>24</v>
      </c>
    </row>
    <row r="47" spans="1:4">
      <c r="A47" s="2" t="s">
        <v>21</v>
      </c>
      <c r="B47" s="8">
        <v>0.5</v>
      </c>
      <c r="C47">
        <v>250</v>
      </c>
      <c r="D47" t="s">
        <v>24</v>
      </c>
    </row>
    <row r="50" spans="1:3">
      <c r="A50" s="25" t="s">
        <v>25</v>
      </c>
      <c r="B50" s="26"/>
      <c r="C50" t="s">
        <v>59</v>
      </c>
    </row>
    <row r="51" spans="1:3">
      <c r="A51" s="2" t="s">
        <v>18</v>
      </c>
      <c r="B51" s="12"/>
    </row>
    <row r="52" spans="1:3">
      <c r="A52" s="2" t="s">
        <v>19</v>
      </c>
      <c r="B52" s="12"/>
    </row>
    <row r="53" spans="1:3">
      <c r="A53" s="2" t="s">
        <v>20</v>
      </c>
      <c r="B53" s="12"/>
    </row>
    <row r="54" spans="1:3">
      <c r="A54" s="2" t="s">
        <v>21</v>
      </c>
      <c r="B54" s="12"/>
    </row>
    <row r="57" spans="1:3">
      <c r="A57" s="25" t="s">
        <v>26</v>
      </c>
      <c r="B57" s="26"/>
    </row>
    <row r="58" spans="1:3">
      <c r="A58" s="2" t="s">
        <v>18</v>
      </c>
      <c r="B58" s="12">
        <v>28</v>
      </c>
    </row>
    <row r="59" spans="1:3">
      <c r="A59" s="2" t="s">
        <v>19</v>
      </c>
      <c r="B59" s="12">
        <v>28</v>
      </c>
    </row>
    <row r="60" spans="1:3">
      <c r="A60" s="2" t="s">
        <v>20</v>
      </c>
      <c r="B60" s="12">
        <v>28</v>
      </c>
    </row>
    <row r="61" spans="1:3">
      <c r="A61" s="2" t="s">
        <v>21</v>
      </c>
      <c r="B61" s="12">
        <v>28</v>
      </c>
    </row>
    <row r="62" spans="1:3">
      <c r="B62" s="12"/>
    </row>
  </sheetData>
  <mergeCells count="6">
    <mergeCell ref="C1:Z1"/>
    <mergeCell ref="A29:B29"/>
    <mergeCell ref="A57:B57"/>
    <mergeCell ref="A43:B43"/>
    <mergeCell ref="A36:B36"/>
    <mergeCell ref="A50:B5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8"/>
  <sheetViews>
    <sheetView zoomScale="75" workbookViewId="0">
      <selection activeCell="X8" sqref="X5:Z8"/>
    </sheetView>
  </sheetViews>
  <sheetFormatPr baseColWidth="10" defaultRowHeight="15"/>
  <sheetData>
    <row r="3" spans="1:26">
      <c r="A3" s="27" t="s">
        <v>27</v>
      </c>
      <c r="B3" s="2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7" t="s">
        <v>8</v>
      </c>
      <c r="C4" s="6">
        <f>17</f>
        <v>17</v>
      </c>
      <c r="D4" s="6">
        <f t="shared" ref="D4:Z4" si="0">C4+17</f>
        <v>34</v>
      </c>
      <c r="E4" s="6">
        <f t="shared" si="0"/>
        <v>51</v>
      </c>
      <c r="F4" s="6">
        <f t="shared" si="0"/>
        <v>68</v>
      </c>
      <c r="G4" s="6">
        <f t="shared" si="0"/>
        <v>85</v>
      </c>
      <c r="H4" s="6">
        <f t="shared" si="0"/>
        <v>102</v>
      </c>
      <c r="I4" s="6">
        <f t="shared" si="0"/>
        <v>119</v>
      </c>
      <c r="J4" s="6">
        <f t="shared" si="0"/>
        <v>136</v>
      </c>
      <c r="K4" s="6">
        <f t="shared" si="0"/>
        <v>153</v>
      </c>
      <c r="L4" s="6">
        <f t="shared" si="0"/>
        <v>170</v>
      </c>
      <c r="M4" s="6">
        <f t="shared" si="0"/>
        <v>187</v>
      </c>
      <c r="N4" s="6">
        <f t="shared" si="0"/>
        <v>204</v>
      </c>
      <c r="O4" s="6">
        <f t="shared" si="0"/>
        <v>221</v>
      </c>
      <c r="P4" s="6">
        <f t="shared" si="0"/>
        <v>238</v>
      </c>
      <c r="Q4" s="6">
        <f t="shared" si="0"/>
        <v>255</v>
      </c>
      <c r="R4" s="6">
        <f t="shared" si="0"/>
        <v>272</v>
      </c>
      <c r="S4" s="6">
        <f t="shared" si="0"/>
        <v>289</v>
      </c>
      <c r="T4" s="6">
        <f t="shared" si="0"/>
        <v>306</v>
      </c>
      <c r="U4" s="6">
        <f t="shared" si="0"/>
        <v>323</v>
      </c>
      <c r="V4" s="6">
        <f t="shared" si="0"/>
        <v>340</v>
      </c>
      <c r="W4" s="6">
        <f t="shared" si="0"/>
        <v>357</v>
      </c>
      <c r="X4" s="6">
        <f t="shared" si="0"/>
        <v>374</v>
      </c>
      <c r="Y4" s="6">
        <f t="shared" si="0"/>
        <v>391</v>
      </c>
      <c r="Z4" s="6">
        <f t="shared" si="0"/>
        <v>408</v>
      </c>
    </row>
    <row r="5" spans="1:26">
      <c r="A5" s="4"/>
      <c r="B5" s="8" t="str">
        <f>Info!B30</f>
        <v>P23-1</v>
      </c>
      <c r="C5" s="6">
        <f>Info!B17-0.05</f>
        <v>1.4999999999999999E-2</v>
      </c>
      <c r="D5" s="6">
        <f>Info!C17-0.05</f>
        <v>0.05</v>
      </c>
      <c r="E5" s="6">
        <f>Info!D17-0.05</f>
        <v>0.08</v>
      </c>
      <c r="F5" s="6">
        <f>Info!E17-0.05</f>
        <v>0.10099999999999999</v>
      </c>
      <c r="G5" s="6">
        <f>Info!F17-0.05</f>
        <v>0.11900000000000001</v>
      </c>
      <c r="H5" s="6">
        <f>Info!G17-0.05</f>
        <v>0.13500000000000001</v>
      </c>
      <c r="I5" s="6">
        <f>Info!H17-0.05</f>
        <v>0.14700000000000002</v>
      </c>
      <c r="J5" s="6">
        <f>Info!I17-0.05</f>
        <v>0.16599999999999998</v>
      </c>
      <c r="K5" s="6">
        <f>Info!J17-0.05</f>
        <v>0.182</v>
      </c>
      <c r="L5" s="6">
        <f>Info!K17-0.05</f>
        <v>0.20500000000000002</v>
      </c>
      <c r="M5" s="6">
        <f>Info!L17-0.05</f>
        <v>0.22300000000000003</v>
      </c>
      <c r="N5" s="6">
        <f>Info!M17-0.05</f>
        <v>0.23699999999999999</v>
      </c>
      <c r="O5" s="6">
        <f>Info!B23-0.05</f>
        <v>0.24199999999999999</v>
      </c>
      <c r="P5" s="6">
        <f>Info!C23-0.05</f>
        <v>0.25700000000000001</v>
      </c>
      <c r="Q5" s="6">
        <f>Info!D23-0.05</f>
        <v>0.27100000000000002</v>
      </c>
      <c r="R5" s="6">
        <f>Info!E23-0.05</f>
        <v>0.28300000000000003</v>
      </c>
      <c r="S5" s="6">
        <f>Info!F23-0.05</f>
        <v>0.29599999999999999</v>
      </c>
      <c r="T5" s="6">
        <f>Info!G23-0.05</f>
        <v>0.315</v>
      </c>
      <c r="U5" s="6">
        <f>Info!H23-0.05</f>
        <v>0.33300000000000002</v>
      </c>
      <c r="V5" s="6">
        <f>Info!I23-0.05</f>
        <v>0.35200000000000004</v>
      </c>
      <c r="W5" s="6">
        <f>Info!J23-0.05</f>
        <v>0.38100000000000001</v>
      </c>
      <c r="X5" s="6">
        <f>Info!K23-0.05</f>
        <v>0.40900000000000003</v>
      </c>
      <c r="Y5" s="6">
        <f>Info!L23-0.05</f>
        <v>0.436</v>
      </c>
      <c r="Z5" s="6">
        <f>Info!M23-0.05</f>
        <v>0.46600000000000003</v>
      </c>
    </row>
    <row r="6" spans="1:26">
      <c r="A6" s="4"/>
      <c r="B6" s="8" t="str">
        <f>Info!B31</f>
        <v>P23-2</v>
      </c>
      <c r="C6" s="6">
        <f>Info!B18-0.05</f>
        <v>1.6E-2</v>
      </c>
      <c r="D6" s="6">
        <f>Info!C18-0.05</f>
        <v>6.4000000000000001E-2</v>
      </c>
      <c r="E6" s="6">
        <f>Info!D18-0.05</f>
        <v>8.6000000000000007E-2</v>
      </c>
      <c r="F6" s="6">
        <f>Info!E18-0.05</f>
        <v>0.108</v>
      </c>
      <c r="G6" s="6">
        <f>Info!F18-0.05</f>
        <v>0.11900000000000001</v>
      </c>
      <c r="H6" s="6">
        <f>Info!G18-0.05</f>
        <v>0.14100000000000001</v>
      </c>
      <c r="I6" s="6">
        <f>Info!H18-0.05</f>
        <v>0.15699999999999997</v>
      </c>
      <c r="J6" s="6">
        <f>Info!I18-0.05</f>
        <v>0.16999999999999998</v>
      </c>
      <c r="K6" s="6">
        <f>Info!J18-0.05</f>
        <v>0.185</v>
      </c>
      <c r="L6" s="6">
        <f>Info!K18-0.05</f>
        <v>0.19900000000000001</v>
      </c>
      <c r="M6" s="6">
        <f>Info!L18-0.05</f>
        <v>0.21800000000000003</v>
      </c>
      <c r="N6" s="6">
        <f>Info!M18-0.05</f>
        <v>0.23599999999999999</v>
      </c>
      <c r="O6" s="6">
        <f>Info!B24-0.05</f>
        <v>0.24099999999999999</v>
      </c>
      <c r="P6" s="6">
        <f>Info!C24-0.05</f>
        <v>0.26600000000000001</v>
      </c>
      <c r="Q6" s="6">
        <f>Info!D24-0.05</f>
        <v>0.27100000000000002</v>
      </c>
      <c r="R6" s="6">
        <f>Info!E24-0.05</f>
        <v>0.28600000000000003</v>
      </c>
      <c r="S6" s="6">
        <f>Info!F24-0.05</f>
        <v>0.3</v>
      </c>
      <c r="T6" s="6">
        <f>Info!G24-0.05</f>
        <v>0.311</v>
      </c>
      <c r="U6" s="6">
        <f>Info!H24-0.05</f>
        <v>0.33100000000000002</v>
      </c>
      <c r="V6" s="6">
        <f>Info!I24-0.05</f>
        <v>0.33900000000000002</v>
      </c>
      <c r="W6" s="6">
        <f>Info!J24-0.05</f>
        <v>0.36</v>
      </c>
      <c r="X6" s="6">
        <f>Info!K24-0.05</f>
        <v>0.38700000000000001</v>
      </c>
      <c r="Y6" s="6">
        <f>Info!L24-0.05</f>
        <v>0.40900000000000003</v>
      </c>
      <c r="Z6" s="6">
        <f>Info!M24-0.05</f>
        <v>0.46100000000000002</v>
      </c>
    </row>
    <row r="7" spans="1:26">
      <c r="A7" s="4"/>
      <c r="B7" s="8" t="str">
        <f>Info!B32</f>
        <v>P23-3</v>
      </c>
      <c r="C7" s="6">
        <f>Info!B19-0.05</f>
        <v>2.3999999999999994E-2</v>
      </c>
      <c r="D7" s="6">
        <f>Info!C19-0.05</f>
        <v>5.4999999999999993E-2</v>
      </c>
      <c r="E7" s="6">
        <f>Info!D19-0.05</f>
        <v>8.4000000000000005E-2</v>
      </c>
      <c r="F7" s="6">
        <f>Info!E19-0.05</f>
        <v>9.799999999999999E-2</v>
      </c>
      <c r="G7" s="6">
        <f>Info!F19-0.05</f>
        <v>0.113</v>
      </c>
      <c r="H7" s="6">
        <f>Info!G19-0.05</f>
        <v>0.11900000000000001</v>
      </c>
      <c r="I7" s="6">
        <f>Info!H19-0.05</f>
        <v>0.13600000000000001</v>
      </c>
      <c r="J7" s="6">
        <f>Info!I19-0.05</f>
        <v>0.15000000000000002</v>
      </c>
      <c r="K7" s="6">
        <f>Info!J19-0.05</f>
        <v>0.16799999999999998</v>
      </c>
      <c r="L7" s="6">
        <f>Info!K19-0.05</f>
        <v>0.189</v>
      </c>
      <c r="M7" s="6">
        <f>Info!L19-0.05</f>
        <v>0.20900000000000002</v>
      </c>
      <c r="N7" s="6">
        <f>Info!M19-0.05</f>
        <v>0.22200000000000003</v>
      </c>
      <c r="O7" s="6">
        <f>Info!B25-0.05</f>
        <v>0.245</v>
      </c>
      <c r="P7" s="6">
        <f>Info!C25-0.05</f>
        <v>0.255</v>
      </c>
      <c r="Q7" s="6">
        <f>Info!D25-0.05</f>
        <v>0.26600000000000001</v>
      </c>
      <c r="R7" s="6">
        <f>Info!E25-0.05</f>
        <v>0.27700000000000002</v>
      </c>
      <c r="S7" s="6">
        <f>Info!F25-0.05</f>
        <v>0.28900000000000003</v>
      </c>
      <c r="T7" s="6">
        <f>Info!G25-0.05</f>
        <v>0.29499999999999998</v>
      </c>
      <c r="U7" s="6">
        <f>Info!H25-0.05</f>
        <v>0.32100000000000001</v>
      </c>
      <c r="V7" s="6">
        <f>Info!I25-0.05</f>
        <v>0.32300000000000001</v>
      </c>
      <c r="W7" s="6">
        <f>Info!J25-0.05</f>
        <v>0.35200000000000004</v>
      </c>
      <c r="X7" s="6">
        <f>Info!K25-0.05</f>
        <v>0.372</v>
      </c>
      <c r="Y7" s="6">
        <f>Info!L25-0.05</f>
        <v>0.39900000000000002</v>
      </c>
      <c r="Z7" s="6">
        <f>Info!M25-0.05</f>
        <v>0.46200000000000002</v>
      </c>
    </row>
    <row r="8" spans="1:26">
      <c r="A8" s="4"/>
      <c r="B8" s="8" t="str">
        <f>Info!B33</f>
        <v>P23-4</v>
      </c>
      <c r="C8" s="6">
        <f>Info!B20-0.05</f>
        <v>2.6999999999999996E-2</v>
      </c>
      <c r="D8" s="6">
        <f>Info!C20-0.05</f>
        <v>5.1000000000000004E-2</v>
      </c>
      <c r="E8" s="6">
        <f>Info!D20-0.05</f>
        <v>8.1000000000000003E-2</v>
      </c>
      <c r="F8" s="6">
        <f>Info!E20-0.05</f>
        <v>9.1999999999999985E-2</v>
      </c>
      <c r="G8" s="6">
        <f>Info!F20-0.05</f>
        <v>0.106</v>
      </c>
      <c r="H8" s="6">
        <f>Info!G20-0.05</f>
        <v>0.11900000000000001</v>
      </c>
      <c r="I8" s="6">
        <f>Info!H20-0.05</f>
        <v>0.13300000000000001</v>
      </c>
      <c r="J8" s="6">
        <f>Info!I20-0.05</f>
        <v>0.15499999999999997</v>
      </c>
      <c r="K8" s="6">
        <f>Info!J20-0.05</f>
        <v>0.17299999999999999</v>
      </c>
      <c r="L8" s="6">
        <f>Info!K20-0.05</f>
        <v>0.193</v>
      </c>
      <c r="M8" s="6">
        <f>Info!L20-0.05</f>
        <v>0.20400000000000001</v>
      </c>
      <c r="N8" s="6">
        <f>Info!M20-0.05</f>
        <v>0.21400000000000002</v>
      </c>
      <c r="O8" s="6">
        <f>Info!B26-0.05</f>
        <v>0.22900000000000004</v>
      </c>
      <c r="P8" s="6">
        <f>Info!C26-0.05</f>
        <v>0.23399999999999999</v>
      </c>
      <c r="Q8" s="6">
        <f>Info!D26-0.05</f>
        <v>0.25700000000000001</v>
      </c>
      <c r="R8" s="6">
        <f>Info!E26-0.05</f>
        <v>0.27</v>
      </c>
      <c r="S8" s="6">
        <f>Info!F26-0.05</f>
        <v>0.29100000000000004</v>
      </c>
      <c r="T8" s="6">
        <f>Info!G26-0.05</f>
        <v>0.29599999999999999</v>
      </c>
      <c r="U8" s="6">
        <f>Info!H26-0.05</f>
        <v>0.318</v>
      </c>
      <c r="V8" s="6">
        <f>Info!I26-0.05</f>
        <v>0.32500000000000001</v>
      </c>
      <c r="W8" s="6">
        <f>Info!J26-0.05</f>
        <v>0.33100000000000002</v>
      </c>
      <c r="X8" s="6">
        <f>Info!K26-0.05</f>
        <v>0.34600000000000003</v>
      </c>
      <c r="Y8" s="6">
        <f>Info!L26-0.05</f>
        <v>0.38300000000000001</v>
      </c>
      <c r="Z8" s="6">
        <f>Info!M26-0.05</f>
        <v>0.442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38"/>
  <sheetViews>
    <sheetView zoomScale="85" workbookViewId="0">
      <selection activeCell="L31" sqref="L31"/>
    </sheetView>
  </sheetViews>
  <sheetFormatPr baseColWidth="10" defaultRowHeight="15"/>
  <sheetData>
    <row r="2" spans="1:26">
      <c r="C2">
        <f>0.25/20*100</f>
        <v>1.25</v>
      </c>
    </row>
    <row r="3" spans="1:26">
      <c r="A3" s="11" t="s">
        <v>28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26">
      <c r="B4" s="10" t="s">
        <v>8</v>
      </c>
      <c r="C4" s="9">
        <f>17</f>
        <v>17</v>
      </c>
      <c r="D4" s="9">
        <f t="shared" ref="D4:Z4" si="0">C4+17</f>
        <v>34</v>
      </c>
      <c r="E4" s="9">
        <f t="shared" si="0"/>
        <v>51</v>
      </c>
      <c r="F4" s="9">
        <f t="shared" si="0"/>
        <v>68</v>
      </c>
      <c r="G4" s="9">
        <f t="shared" si="0"/>
        <v>85</v>
      </c>
      <c r="H4" s="9">
        <f t="shared" si="0"/>
        <v>102</v>
      </c>
      <c r="I4" s="9">
        <f t="shared" si="0"/>
        <v>119</v>
      </c>
      <c r="J4" s="9">
        <f t="shared" si="0"/>
        <v>136</v>
      </c>
      <c r="K4" s="9">
        <f t="shared" si="0"/>
        <v>153</v>
      </c>
      <c r="L4" s="9">
        <f t="shared" si="0"/>
        <v>170</v>
      </c>
      <c r="M4" s="9">
        <f t="shared" si="0"/>
        <v>187</v>
      </c>
      <c r="N4" s="9">
        <f t="shared" si="0"/>
        <v>204</v>
      </c>
      <c r="O4" s="9">
        <f t="shared" si="0"/>
        <v>221</v>
      </c>
      <c r="P4" s="9">
        <f t="shared" si="0"/>
        <v>238</v>
      </c>
      <c r="Q4" s="9">
        <f t="shared" si="0"/>
        <v>255</v>
      </c>
      <c r="R4" s="9">
        <f t="shared" si="0"/>
        <v>272</v>
      </c>
      <c r="S4" s="9">
        <f t="shared" si="0"/>
        <v>289</v>
      </c>
      <c r="T4" s="9">
        <f t="shared" si="0"/>
        <v>306</v>
      </c>
      <c r="U4" s="9">
        <f t="shared" si="0"/>
        <v>323</v>
      </c>
      <c r="V4" s="9">
        <f t="shared" si="0"/>
        <v>340</v>
      </c>
      <c r="W4" s="9">
        <f t="shared" si="0"/>
        <v>357</v>
      </c>
      <c r="X4" s="9">
        <f t="shared" si="0"/>
        <v>374</v>
      </c>
      <c r="Y4" s="9">
        <f t="shared" si="0"/>
        <v>391</v>
      </c>
      <c r="Z4" s="9">
        <f t="shared" si="0"/>
        <v>408</v>
      </c>
    </row>
    <row r="5" spans="1:26">
      <c r="B5" s="8" t="str">
        <f>Info!B30</f>
        <v>P23-1</v>
      </c>
      <c r="C5" s="9">
        <f>('Correction Blank'!C5-0.0796)/0.1195</f>
        <v>-0.54058577405857744</v>
      </c>
      <c r="D5" s="9">
        <f>('Correction Blank'!D5-0.0796)/0.1195</f>
        <v>-0.2476987447698745</v>
      </c>
      <c r="E5" s="9">
        <f>('Correction Blank'!E5-0.0796)/0.1195</f>
        <v>3.3472803347280133E-3</v>
      </c>
      <c r="F5" s="9">
        <f>('Correction Blank'!F5-0.0796)/0.1195</f>
        <v>0.17907949790794969</v>
      </c>
      <c r="G5" s="9">
        <f>('Correction Blank'!G5-0.0796)/0.1195</f>
        <v>0.32970711297071137</v>
      </c>
      <c r="H5" s="9">
        <f>('Correction Blank'!H5-0.0796)/0.1195</f>
        <v>0.46359832635983267</v>
      </c>
      <c r="I5" s="9">
        <f>('Correction Blank'!I5-0.0796)/0.1195</f>
        <v>0.56401673640167382</v>
      </c>
      <c r="J5" s="9">
        <f>('Correction Blank'!J5-0.0796)/0.1195</f>
        <v>0.72301255230125505</v>
      </c>
      <c r="K5" s="9">
        <f>('Correction Blank'!K5-0.0796)/0.1195</f>
        <v>0.85690376569037652</v>
      </c>
      <c r="L5" s="9">
        <f>('Correction Blank'!L5-0.0796)/0.1195</f>
        <v>1.0493723849372387</v>
      </c>
      <c r="M5" s="9">
        <f>('Correction Blank'!M5-0.0796)/0.1195</f>
        <v>1.2000000000000002</v>
      </c>
      <c r="N5" s="9">
        <f>('Correction Blank'!N5-0.0796)/0.1195</f>
        <v>1.317154811715481</v>
      </c>
      <c r="O5" s="9">
        <f>('Correction Blank'!O5-0.0796)/0.1195</f>
        <v>1.3589958158995816</v>
      </c>
      <c r="P5" s="9">
        <f>('Correction Blank'!P5-0.0796)/0.1195</f>
        <v>1.4845188284518829</v>
      </c>
      <c r="Q5" s="9">
        <f>('Correction Blank'!Q5-0.0796)/0.1195</f>
        <v>1.6016736401673641</v>
      </c>
      <c r="R5" s="9">
        <f>('Correction Blank'!R5-0.0796)/0.1195</f>
        <v>1.7020920502092054</v>
      </c>
      <c r="S5" s="9">
        <f>('Correction Blank'!S5-0.0796)/0.1195</f>
        <v>1.810878661087866</v>
      </c>
      <c r="T5" s="9">
        <f>('Correction Blank'!T5-0.0796)/0.1195</f>
        <v>1.9698744769874477</v>
      </c>
      <c r="U5" s="9">
        <f>('Correction Blank'!U5-0.0796)/0.1195</f>
        <v>2.1205020920502093</v>
      </c>
      <c r="V5" s="9">
        <f>('Correction Blank'!V5-0.0796)/0.1195</f>
        <v>2.279497907949791</v>
      </c>
      <c r="W5" s="9">
        <f>('Correction Blank'!W5-0.0796)/0.1195</f>
        <v>2.5221757322175735</v>
      </c>
      <c r="X5" s="9">
        <f>('Correction Blank'!X5-0.0796)/0.1195</f>
        <v>2.756485355648536</v>
      </c>
      <c r="Y5" s="9">
        <f>('Correction Blank'!Y5-0.0796)/0.1195</f>
        <v>2.9824267782426781</v>
      </c>
      <c r="Z5" s="9">
        <f>('Correction Blank'!Z5-0.0796)/0.1195</f>
        <v>3.2334728033472806</v>
      </c>
    </row>
    <row r="6" spans="1:26">
      <c r="B6" s="8" t="str">
        <f>Info!B31</f>
        <v>P23-2</v>
      </c>
      <c r="C6" s="9">
        <f>('Correction Blank'!C6-0.0796)/0.1195</f>
        <v>-0.53221757322175733</v>
      </c>
      <c r="D6" s="9">
        <f>('Correction Blank'!D6-0.0796)/0.1195</f>
        <v>-0.13054393305439332</v>
      </c>
      <c r="E6" s="9">
        <f>('Correction Blank'!E6-0.0796)/0.1195</f>
        <v>5.355648535564856E-2</v>
      </c>
      <c r="F6" s="9">
        <f>('Correction Blank'!F6-0.0796)/0.1195</f>
        <v>0.23765690376569035</v>
      </c>
      <c r="G6" s="9">
        <f>('Correction Blank'!G6-0.0796)/0.1195</f>
        <v>0.32970711297071137</v>
      </c>
      <c r="H6" s="9">
        <f>('Correction Blank'!H6-0.0796)/0.1195</f>
        <v>0.51380753138075319</v>
      </c>
      <c r="I6" s="9">
        <f>('Correction Blank'!I6-0.0796)/0.1195</f>
        <v>0.64769874476987421</v>
      </c>
      <c r="J6" s="9">
        <f>('Correction Blank'!J6-0.0796)/0.1195</f>
        <v>0.75648535564853547</v>
      </c>
      <c r="K6" s="9">
        <f>('Correction Blank'!K6-0.0796)/0.1195</f>
        <v>0.88200836820083683</v>
      </c>
      <c r="L6" s="9">
        <f>('Correction Blank'!L6-0.0796)/0.1195</f>
        <v>0.99916317991631809</v>
      </c>
      <c r="M6" s="9">
        <f>('Correction Blank'!M6-0.0796)/0.1195</f>
        <v>1.1581589958158998</v>
      </c>
      <c r="N6" s="9">
        <f>('Correction Blank'!N6-0.0796)/0.1195</f>
        <v>1.308786610878661</v>
      </c>
      <c r="O6" s="9">
        <f>('Correction Blank'!O6-0.0796)/0.1195</f>
        <v>1.3506276150627614</v>
      </c>
      <c r="P6" s="9">
        <f>('Correction Blank'!P6-0.0796)/0.1195</f>
        <v>1.5598326359832637</v>
      </c>
      <c r="Q6" s="9">
        <f>('Correction Blank'!Q6-0.0796)/0.1195</f>
        <v>1.6016736401673641</v>
      </c>
      <c r="R6" s="9">
        <f>('Correction Blank'!R6-0.0796)/0.1195</f>
        <v>1.7271966527196656</v>
      </c>
      <c r="S6" s="9">
        <f>('Correction Blank'!S6-0.0796)/0.1195</f>
        <v>1.8443514644351464</v>
      </c>
      <c r="T6" s="9">
        <f>('Correction Blank'!T6-0.0796)/0.1195</f>
        <v>1.9364016736401675</v>
      </c>
      <c r="U6" s="9">
        <f>('Correction Blank'!U6-0.0796)/0.1195</f>
        <v>2.1037656903765694</v>
      </c>
      <c r="V6" s="9">
        <f>('Correction Blank'!V6-0.0796)/0.1195</f>
        <v>2.1707112970711298</v>
      </c>
      <c r="W6" s="9">
        <f>('Correction Blank'!W6-0.0796)/0.1195</f>
        <v>2.3464435146443514</v>
      </c>
      <c r="X6" s="9">
        <f>('Correction Blank'!X6-0.0796)/0.1195</f>
        <v>2.5723849372384939</v>
      </c>
      <c r="Y6" s="9">
        <f>('Correction Blank'!Y6-0.0796)/0.1195</f>
        <v>2.756485355648536</v>
      </c>
      <c r="Z6" s="9">
        <f>('Correction Blank'!Z6-0.0796)/0.1195</f>
        <v>3.1916317991631802</v>
      </c>
    </row>
    <row r="7" spans="1:26">
      <c r="B7" s="8" t="str">
        <f>Info!B32</f>
        <v>P23-3</v>
      </c>
      <c r="C7" s="9">
        <f>('Correction Blank'!C7-0.0796)/0.1195</f>
        <v>-0.46527196652719677</v>
      </c>
      <c r="D7" s="9">
        <f>('Correction Blank'!D7-0.0796)/0.1195</f>
        <v>-0.20585774058577416</v>
      </c>
      <c r="E7" s="9">
        <f>('Correction Blank'!E7-0.0796)/0.1195</f>
        <v>3.6820083682008377E-2</v>
      </c>
      <c r="F7" s="9">
        <f>('Correction Blank'!F7-0.0796)/0.1195</f>
        <v>0.15397489539748943</v>
      </c>
      <c r="G7" s="9">
        <f>('Correction Blank'!G7-0.0796)/0.1195</f>
        <v>0.27949790794979079</v>
      </c>
      <c r="H7" s="9">
        <f>('Correction Blank'!H7-0.0796)/0.1195</f>
        <v>0.32970711297071137</v>
      </c>
      <c r="I7" s="9">
        <f>('Correction Blank'!I7-0.0796)/0.1195</f>
        <v>0.47196652719665277</v>
      </c>
      <c r="J7" s="9">
        <f>('Correction Blank'!J7-0.0796)/0.1195</f>
        <v>0.58912133891213403</v>
      </c>
      <c r="K7" s="9">
        <f>('Correction Blank'!K7-0.0796)/0.1195</f>
        <v>0.73974895397489526</v>
      </c>
      <c r="L7" s="9">
        <f>('Correction Blank'!L7-0.0796)/0.1195</f>
        <v>0.91548117154811715</v>
      </c>
      <c r="M7" s="9">
        <f>('Correction Blank'!M7-0.0796)/0.1195</f>
        <v>1.0828451882845189</v>
      </c>
      <c r="N7" s="9">
        <f>('Correction Blank'!N7-0.0796)/0.1195</f>
        <v>1.1916317991631802</v>
      </c>
      <c r="O7" s="9">
        <f>('Correction Blank'!O7-0.0796)/0.1195</f>
        <v>1.3841004184100418</v>
      </c>
      <c r="P7" s="9">
        <f>('Correction Blank'!P7-0.0796)/0.1195</f>
        <v>1.4677824267782427</v>
      </c>
      <c r="Q7" s="9">
        <f>('Correction Blank'!Q7-0.0796)/0.1195</f>
        <v>1.5598326359832637</v>
      </c>
      <c r="R7" s="9">
        <f>('Correction Blank'!R7-0.0796)/0.1195</f>
        <v>1.6518828451882848</v>
      </c>
      <c r="S7" s="9">
        <f>('Correction Blank'!S7-0.0796)/0.1195</f>
        <v>1.7523012552301258</v>
      </c>
      <c r="T7" s="9">
        <f>('Correction Blank'!T7-0.0796)/0.1195</f>
        <v>1.802510460251046</v>
      </c>
      <c r="U7" s="9">
        <f>('Correction Blank'!U7-0.0796)/0.1195</f>
        <v>2.0200836820083685</v>
      </c>
      <c r="V7" s="9">
        <f>('Correction Blank'!V7-0.0796)/0.1195</f>
        <v>2.0368200836820085</v>
      </c>
      <c r="W7" s="9">
        <f>('Correction Blank'!W7-0.0796)/0.1195</f>
        <v>2.279497907949791</v>
      </c>
      <c r="X7" s="9">
        <f>('Correction Blank'!X7-0.0796)/0.1195</f>
        <v>2.4468619246861927</v>
      </c>
      <c r="Y7" s="9">
        <f>('Correction Blank'!Y7-0.0796)/0.1195</f>
        <v>2.6728033472803352</v>
      </c>
      <c r="Z7" s="9">
        <f>('Correction Blank'!Z7-0.0796)/0.1195</f>
        <v>3.2</v>
      </c>
    </row>
    <row r="8" spans="1:26">
      <c r="B8" s="8" t="str">
        <f>Info!B33</f>
        <v>P23-4</v>
      </c>
      <c r="C8" s="9">
        <f>('Correction Blank'!C8-0.0796)/0.1195</f>
        <v>-0.44016736401673651</v>
      </c>
      <c r="D8" s="9">
        <f>('Correction Blank'!D8-0.0796)/0.1195</f>
        <v>-0.23933054393305442</v>
      </c>
      <c r="E8" s="9">
        <f>('Correction Blank'!E8-0.0796)/0.1195</f>
        <v>1.1715481171548105E-2</v>
      </c>
      <c r="F8" s="9">
        <f>('Correction Blank'!F8-0.0796)/0.1195</f>
        <v>0.10376569037656888</v>
      </c>
      <c r="G8" s="9">
        <f>('Correction Blank'!G8-0.0796)/0.1195</f>
        <v>0.22092050209205016</v>
      </c>
      <c r="H8" s="9">
        <f>('Correction Blank'!H8-0.0796)/0.1195</f>
        <v>0.32970711297071137</v>
      </c>
      <c r="I8" s="9">
        <f>('Correction Blank'!I8-0.0796)/0.1195</f>
        <v>0.44686192468619251</v>
      </c>
      <c r="J8" s="9">
        <f>('Correction Blank'!J8-0.0796)/0.1195</f>
        <v>0.63096234309623411</v>
      </c>
      <c r="K8" s="9">
        <f>('Correction Blank'!K8-0.0796)/0.1195</f>
        <v>0.78158995815899568</v>
      </c>
      <c r="L8" s="9">
        <f>('Correction Blank'!L8-0.0796)/0.1195</f>
        <v>0.94895397489539757</v>
      </c>
      <c r="M8" s="9">
        <f>('Correction Blank'!M8-0.0796)/0.1195</f>
        <v>1.0410041841004185</v>
      </c>
      <c r="N8" s="9">
        <f>('Correction Blank'!N8-0.0796)/0.1195</f>
        <v>1.1246861924686196</v>
      </c>
      <c r="O8" s="9">
        <f>('Correction Blank'!O8-0.0796)/0.1195</f>
        <v>1.2502092050209208</v>
      </c>
      <c r="P8" s="9">
        <f>('Correction Blank'!P8-0.0796)/0.1195</f>
        <v>1.2920502092050208</v>
      </c>
      <c r="Q8" s="9">
        <f>('Correction Blank'!Q8-0.0796)/0.1195</f>
        <v>1.4845188284518829</v>
      </c>
      <c r="R8" s="9">
        <f>('Correction Blank'!R8-0.0796)/0.1195</f>
        <v>1.5933054393305441</v>
      </c>
      <c r="S8" s="9">
        <f>('Correction Blank'!S8-0.0796)/0.1195</f>
        <v>1.769037656903766</v>
      </c>
      <c r="T8" s="9">
        <f>('Correction Blank'!T8-0.0796)/0.1195</f>
        <v>1.810878661087866</v>
      </c>
      <c r="U8" s="9">
        <f>('Correction Blank'!U8-0.0796)/0.1195</f>
        <v>1.9949790794979081</v>
      </c>
      <c r="V8" s="9">
        <f>('Correction Blank'!V8-0.0796)/0.1195</f>
        <v>2.0535564853556485</v>
      </c>
      <c r="W8" s="9">
        <f>('Correction Blank'!W8-0.0796)/0.1195</f>
        <v>2.1037656903765694</v>
      </c>
      <c r="X8" s="9">
        <f>('Correction Blank'!X8-0.0796)/0.1195</f>
        <v>2.2292887029288706</v>
      </c>
      <c r="Y8" s="9">
        <f>('Correction Blank'!Y8-0.0796)/0.1195</f>
        <v>2.5389121338912135</v>
      </c>
      <c r="Z8" s="9">
        <f>('Correction Blank'!Z8-0.0796)/0.1195</f>
        <v>3.0326359832635985</v>
      </c>
    </row>
    <row r="10" spans="1:26" s="4" customFormat="1" ht="13" customHeight="1">
      <c r="B10" s="6"/>
    </row>
    <row r="11" spans="1:26" s="4" customFormat="1" ht="13" customHeight="1">
      <c r="B11" s="6"/>
    </row>
    <row r="12" spans="1:26">
      <c r="A12" t="s">
        <v>30</v>
      </c>
      <c r="B12">
        <v>0.1195</v>
      </c>
    </row>
    <row r="13" spans="1:26">
      <c r="A13" t="s">
        <v>31</v>
      </c>
      <c r="B13">
        <v>7.9600000000000004E-2</v>
      </c>
    </row>
    <row r="14" spans="1:26">
      <c r="A14" t="s">
        <v>32</v>
      </c>
      <c r="B14">
        <v>20</v>
      </c>
    </row>
    <row r="38" spans="9:9">
      <c r="I38">
        <f>357/60</f>
        <v>5.95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8"/>
  <sheetViews>
    <sheetView showGridLines="0" tabSelected="1" workbookViewId="0">
      <pane xSplit="2" ySplit="12" topLeftCell="G20" activePane="bottomRight" state="frozen"/>
      <selection pane="topRight"/>
      <selection pane="bottomLeft"/>
      <selection pane="bottomRight" activeCell="H35" sqref="H35"/>
    </sheetView>
  </sheetViews>
  <sheetFormatPr baseColWidth="10" defaultColWidth="8.83203125" defaultRowHeight="15"/>
  <cols>
    <col min="1" max="1" width="37.5" customWidth="1"/>
    <col min="2" max="2" width="24" customWidth="1"/>
    <col min="3" max="24" width="11" customWidth="1"/>
  </cols>
  <sheetData>
    <row r="1" spans="1:27" ht="24" customHeight="1">
      <c r="A1" s="31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7" ht="18" customHeight="1">
      <c r="A2" s="28" t="s">
        <v>57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7" ht="18" customHeight="1">
      <c r="A3" t="s">
        <v>52</v>
      </c>
    </row>
    <row r="4" spans="1:27" ht="18" customHeight="1">
      <c r="A4" s="15" t="s">
        <v>34</v>
      </c>
    </row>
    <row r="5" spans="1:27" ht="18" customHeight="1">
      <c r="A5" t="s">
        <v>35</v>
      </c>
      <c r="B5" s="14">
        <f>Info!B37</f>
        <v>19</v>
      </c>
      <c r="C5" s="14">
        <f>Info!C37</f>
        <v>0</v>
      </c>
      <c r="D5" t="s">
        <v>36</v>
      </c>
      <c r="E5" s="17" t="s">
        <v>37</v>
      </c>
    </row>
    <row r="6" spans="1:27" ht="18" customHeight="1">
      <c r="B6" s="14">
        <v>19.600000000000001</v>
      </c>
      <c r="E6" s="17"/>
    </row>
    <row r="7" spans="1:27" ht="18" customHeight="1">
      <c r="B7" s="14">
        <v>17.399999999999999</v>
      </c>
      <c r="E7" s="17"/>
    </row>
    <row r="8" spans="1:27" ht="18" customHeight="1">
      <c r="B8" s="14">
        <v>20.2</v>
      </c>
      <c r="E8" s="17"/>
    </row>
    <row r="9" spans="1:27" ht="18" customHeight="1">
      <c r="B9" s="16"/>
      <c r="E9" s="17"/>
    </row>
    <row r="10" spans="1:27" ht="30" customHeight="1">
      <c r="A10" t="s">
        <v>38</v>
      </c>
      <c r="B10" s="18">
        <v>0.25</v>
      </c>
      <c r="D10" t="s">
        <v>39</v>
      </c>
      <c r="E10" s="30" t="s">
        <v>40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7" ht="30" customHeight="1">
      <c r="A11" t="s">
        <v>41</v>
      </c>
      <c r="B11" s="18">
        <v>250</v>
      </c>
      <c r="D11" t="s">
        <v>42</v>
      </c>
      <c r="E11" s="30" t="s">
        <v>43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27" ht="18" customHeight="1"/>
    <row r="13" spans="1:27" ht="18" customHeight="1">
      <c r="A13" s="15" t="s">
        <v>44</v>
      </c>
    </row>
    <row r="14" spans="1:27" ht="18" customHeight="1">
      <c r="B14" s="19" t="s">
        <v>8</v>
      </c>
      <c r="C14" s="19">
        <f>Conversions!C4</f>
        <v>17</v>
      </c>
      <c r="D14" s="19">
        <f>Conversions!D4</f>
        <v>34</v>
      </c>
      <c r="E14" s="19">
        <f>Conversions!E4</f>
        <v>51</v>
      </c>
      <c r="F14" s="19">
        <f>Conversions!F4</f>
        <v>68</v>
      </c>
      <c r="G14" s="19">
        <f>Conversions!G4</f>
        <v>85</v>
      </c>
      <c r="H14" s="19">
        <f>Conversions!H4</f>
        <v>102</v>
      </c>
      <c r="I14" s="19">
        <f>Conversions!I4</f>
        <v>119</v>
      </c>
      <c r="J14" s="19">
        <f>Conversions!J4</f>
        <v>136</v>
      </c>
      <c r="K14" s="19">
        <f>Conversions!K4</f>
        <v>153</v>
      </c>
      <c r="L14" s="19">
        <f>Conversions!L4</f>
        <v>170</v>
      </c>
      <c r="M14" s="19">
        <f>Conversions!M4</f>
        <v>187</v>
      </c>
      <c r="N14" s="19">
        <f>Conversions!N4</f>
        <v>204</v>
      </c>
      <c r="O14" s="19">
        <f>Conversions!O4</f>
        <v>221</v>
      </c>
      <c r="P14" s="19">
        <f>Conversions!P4</f>
        <v>238</v>
      </c>
      <c r="Q14" s="19">
        <f>Conversions!Q4</f>
        <v>255</v>
      </c>
      <c r="R14" s="19">
        <f>Conversions!R4</f>
        <v>272</v>
      </c>
      <c r="S14" s="19">
        <f>Conversions!S4</f>
        <v>289</v>
      </c>
      <c r="T14" s="19">
        <f>Conversions!T4</f>
        <v>306</v>
      </c>
      <c r="U14" s="19">
        <f>Conversions!U4</f>
        <v>323</v>
      </c>
      <c r="V14" s="19">
        <f>Conversions!V4</f>
        <v>340</v>
      </c>
      <c r="W14" s="19">
        <f>Conversions!W4</f>
        <v>357</v>
      </c>
      <c r="X14" s="19">
        <f>Conversions!X4</f>
        <v>374</v>
      </c>
      <c r="Y14" s="19">
        <f>Conversions!Y4</f>
        <v>391</v>
      </c>
      <c r="Z14" s="19">
        <f>Conversions!Z4</f>
        <v>408</v>
      </c>
      <c r="AA14" s="19"/>
    </row>
    <row r="15" spans="1:27" ht="18" customHeight="1">
      <c r="B15" s="20" t="str">
        <f>Conversions!B5</f>
        <v>P23-1</v>
      </c>
      <c r="C15" s="16">
        <f>Conversions!C5</f>
        <v>-0.54058577405857744</v>
      </c>
      <c r="D15" s="16">
        <f>Conversions!D5</f>
        <v>-0.2476987447698745</v>
      </c>
      <c r="E15" s="16">
        <f>Conversions!E5</f>
        <v>3.3472803347280133E-3</v>
      </c>
      <c r="F15" s="16">
        <f>Conversions!F5</f>
        <v>0.17907949790794969</v>
      </c>
      <c r="G15" s="16">
        <f>Conversions!G5</f>
        <v>0.32970711297071137</v>
      </c>
      <c r="H15" s="16">
        <f>Conversions!H5</f>
        <v>0.46359832635983267</v>
      </c>
      <c r="I15" s="16">
        <f>Conversions!I5</f>
        <v>0.56401673640167382</v>
      </c>
      <c r="J15" s="16">
        <f>Conversions!J5</f>
        <v>0.72301255230125505</v>
      </c>
      <c r="K15" s="16">
        <f>Conversions!K5</f>
        <v>0.85690376569037652</v>
      </c>
      <c r="L15" s="16">
        <f>Conversions!L5</f>
        <v>1.0493723849372387</v>
      </c>
      <c r="M15" s="16">
        <f>Conversions!M5</f>
        <v>1.2000000000000002</v>
      </c>
      <c r="N15" s="16">
        <f>Conversions!N5</f>
        <v>1.317154811715481</v>
      </c>
      <c r="O15" s="16">
        <f>Conversions!O5</f>
        <v>1.3589958158995816</v>
      </c>
      <c r="P15" s="16">
        <f>Conversions!P5</f>
        <v>1.4845188284518829</v>
      </c>
      <c r="Q15" s="16">
        <f>Conversions!Q5</f>
        <v>1.6016736401673641</v>
      </c>
      <c r="R15" s="16">
        <f>Conversions!R5</f>
        <v>1.7020920502092054</v>
      </c>
      <c r="S15" s="16">
        <f>Conversions!S5</f>
        <v>1.810878661087866</v>
      </c>
      <c r="T15" s="16">
        <f>Conversions!T5</f>
        <v>1.9698744769874477</v>
      </c>
      <c r="U15" s="16">
        <f>Conversions!U5</f>
        <v>2.1205020920502093</v>
      </c>
      <c r="V15" s="16">
        <f>Conversions!V5</f>
        <v>2.279497907949791</v>
      </c>
      <c r="W15" s="16">
        <f>Conversions!W5</f>
        <v>2.5221757322175735</v>
      </c>
      <c r="X15" s="16">
        <f>Conversions!X5</f>
        <v>2.756485355648536</v>
      </c>
      <c r="Y15" s="16">
        <f>Conversions!Y5</f>
        <v>2.9824267782426781</v>
      </c>
      <c r="Z15" s="16">
        <f>Conversions!Z5</f>
        <v>3.2334728033472806</v>
      </c>
    </row>
    <row r="16" spans="1:27" ht="18" customHeight="1">
      <c r="B16" s="20" t="str">
        <f>Conversions!B6</f>
        <v>P23-2</v>
      </c>
      <c r="C16" s="16">
        <f>Conversions!C6</f>
        <v>-0.53221757322175733</v>
      </c>
      <c r="D16" s="16">
        <f>Conversions!D6</f>
        <v>-0.13054393305439332</v>
      </c>
      <c r="E16" s="16">
        <f>Conversions!E6</f>
        <v>5.355648535564856E-2</v>
      </c>
      <c r="F16" s="16">
        <f>Conversions!F6</f>
        <v>0.23765690376569035</v>
      </c>
      <c r="G16" s="16">
        <f>Conversions!G6</f>
        <v>0.32970711297071137</v>
      </c>
      <c r="H16" s="16">
        <f>Conversions!H6</f>
        <v>0.51380753138075319</v>
      </c>
      <c r="I16" s="16">
        <f>Conversions!I6</f>
        <v>0.64769874476987421</v>
      </c>
      <c r="J16" s="16">
        <f>Conversions!J6</f>
        <v>0.75648535564853547</v>
      </c>
      <c r="K16" s="16">
        <f>Conversions!K6</f>
        <v>0.88200836820083683</v>
      </c>
      <c r="L16" s="16">
        <f>Conversions!L6</f>
        <v>0.99916317991631809</v>
      </c>
      <c r="M16" s="16">
        <f>Conversions!M6</f>
        <v>1.1581589958158998</v>
      </c>
      <c r="N16" s="16">
        <f>Conversions!N6</f>
        <v>1.308786610878661</v>
      </c>
      <c r="O16" s="16">
        <f>Conversions!O6</f>
        <v>1.3506276150627614</v>
      </c>
      <c r="P16" s="16">
        <f>Conversions!P6</f>
        <v>1.5598326359832637</v>
      </c>
      <c r="Q16" s="16">
        <f>Conversions!Q6</f>
        <v>1.6016736401673641</v>
      </c>
      <c r="R16" s="16">
        <f>Conversions!R6</f>
        <v>1.7271966527196656</v>
      </c>
      <c r="S16" s="16">
        <f>Conversions!S6</f>
        <v>1.8443514644351464</v>
      </c>
      <c r="T16" s="16">
        <f>Conversions!T6</f>
        <v>1.9364016736401675</v>
      </c>
      <c r="U16" s="16">
        <f>Conversions!U6</f>
        <v>2.1037656903765694</v>
      </c>
      <c r="V16" s="16">
        <f>Conversions!V6</f>
        <v>2.1707112970711298</v>
      </c>
      <c r="W16" s="16">
        <f>Conversions!W6</f>
        <v>2.3464435146443514</v>
      </c>
      <c r="X16" s="16">
        <f>Conversions!X6</f>
        <v>2.5723849372384939</v>
      </c>
      <c r="Y16" s="16">
        <f>Conversions!Y6</f>
        <v>2.756485355648536</v>
      </c>
      <c r="Z16" s="16">
        <f>Conversions!Z6</f>
        <v>3.1916317991631802</v>
      </c>
    </row>
    <row r="17" spans="1:26" ht="18" customHeight="1">
      <c r="B17" s="20" t="str">
        <f>Conversions!B7</f>
        <v>P23-3</v>
      </c>
      <c r="C17" s="16">
        <f>Conversions!C7</f>
        <v>-0.46527196652719677</v>
      </c>
      <c r="D17" s="16">
        <f>Conversions!D7</f>
        <v>-0.20585774058577416</v>
      </c>
      <c r="E17" s="16">
        <f>Conversions!E7</f>
        <v>3.6820083682008377E-2</v>
      </c>
      <c r="F17" s="16">
        <f>Conversions!F7</f>
        <v>0.15397489539748943</v>
      </c>
      <c r="G17" s="16">
        <f>Conversions!G7</f>
        <v>0.27949790794979079</v>
      </c>
      <c r="H17" s="16">
        <f>Conversions!H7</f>
        <v>0.32970711297071137</v>
      </c>
      <c r="I17" s="16">
        <f>Conversions!I7</f>
        <v>0.47196652719665277</v>
      </c>
      <c r="J17" s="16">
        <f>Conversions!J7</f>
        <v>0.58912133891213403</v>
      </c>
      <c r="K17" s="16">
        <f>Conversions!K7</f>
        <v>0.73974895397489526</v>
      </c>
      <c r="L17" s="16">
        <f>Conversions!L7</f>
        <v>0.91548117154811715</v>
      </c>
      <c r="M17" s="16">
        <f>Conversions!M7</f>
        <v>1.0828451882845189</v>
      </c>
      <c r="N17" s="16">
        <f>Conversions!N7</f>
        <v>1.1916317991631802</v>
      </c>
      <c r="O17" s="16">
        <f>Conversions!O7</f>
        <v>1.3841004184100418</v>
      </c>
      <c r="P17" s="16">
        <f>Conversions!P7</f>
        <v>1.4677824267782427</v>
      </c>
      <c r="Q17" s="16">
        <f>Conversions!Q7</f>
        <v>1.5598326359832637</v>
      </c>
      <c r="R17" s="16">
        <f>Conversions!R7</f>
        <v>1.6518828451882848</v>
      </c>
      <c r="S17" s="16">
        <f>Conversions!S7</f>
        <v>1.7523012552301258</v>
      </c>
      <c r="T17" s="16">
        <f>Conversions!T7</f>
        <v>1.802510460251046</v>
      </c>
      <c r="U17" s="16">
        <f>Conversions!U7</f>
        <v>2.0200836820083685</v>
      </c>
      <c r="V17" s="16">
        <f>Conversions!V7</f>
        <v>2.0368200836820085</v>
      </c>
      <c r="W17" s="16">
        <f>Conversions!W7</f>
        <v>2.279497907949791</v>
      </c>
      <c r="X17" s="16">
        <f>Conversions!X7</f>
        <v>2.4468619246861927</v>
      </c>
      <c r="Y17" s="16">
        <f>Conversions!Y7</f>
        <v>2.6728033472803352</v>
      </c>
      <c r="Z17" s="16">
        <f>Conversions!Z7</f>
        <v>3.2</v>
      </c>
    </row>
    <row r="18" spans="1:26" ht="18" customHeight="1">
      <c r="B18" s="20" t="str">
        <f>Conversions!B8</f>
        <v>P23-4</v>
      </c>
      <c r="C18" s="16">
        <f>Conversions!C8</f>
        <v>-0.44016736401673651</v>
      </c>
      <c r="D18" s="16">
        <f>Conversions!D8</f>
        <v>-0.23933054393305442</v>
      </c>
      <c r="E18" s="16">
        <f>Conversions!E8</f>
        <v>1.1715481171548105E-2</v>
      </c>
      <c r="F18" s="16">
        <f>Conversions!F8</f>
        <v>0.10376569037656888</v>
      </c>
      <c r="G18" s="16">
        <f>Conversions!G8</f>
        <v>0.22092050209205016</v>
      </c>
      <c r="H18" s="16">
        <f>Conversions!H8</f>
        <v>0.32970711297071137</v>
      </c>
      <c r="I18" s="16">
        <f>Conversions!I8</f>
        <v>0.44686192468619251</v>
      </c>
      <c r="J18" s="16">
        <f>Conversions!J8</f>
        <v>0.63096234309623411</v>
      </c>
      <c r="K18" s="16">
        <f>Conversions!K8</f>
        <v>0.78158995815899568</v>
      </c>
      <c r="L18" s="16">
        <f>Conversions!L8</f>
        <v>0.94895397489539757</v>
      </c>
      <c r="M18" s="16">
        <f>Conversions!M8</f>
        <v>1.0410041841004185</v>
      </c>
      <c r="N18" s="16">
        <f>Conversions!N8</f>
        <v>1.1246861924686196</v>
      </c>
      <c r="O18" s="16">
        <f>Conversions!O8</f>
        <v>1.2502092050209208</v>
      </c>
      <c r="P18" s="16">
        <f>Conversions!P8</f>
        <v>1.2920502092050208</v>
      </c>
      <c r="Q18" s="16">
        <f>Conversions!Q8</f>
        <v>1.4845188284518829</v>
      </c>
      <c r="R18" s="16">
        <f>Conversions!R8</f>
        <v>1.5933054393305441</v>
      </c>
      <c r="S18" s="16">
        <f>Conversions!S8</f>
        <v>1.769037656903766</v>
      </c>
      <c r="T18" s="16">
        <f>Conversions!T8</f>
        <v>1.810878661087866</v>
      </c>
      <c r="U18" s="16">
        <f>Conversions!U8</f>
        <v>1.9949790794979081</v>
      </c>
      <c r="V18" s="16">
        <f>Conversions!V8</f>
        <v>2.0535564853556485</v>
      </c>
      <c r="W18" s="16">
        <f>Conversions!W8</f>
        <v>2.1037656903765694</v>
      </c>
      <c r="X18" s="16">
        <f>Conversions!X8</f>
        <v>2.2292887029288706</v>
      </c>
      <c r="Y18" s="16">
        <f>Conversions!Y8</f>
        <v>2.5389121338912135</v>
      </c>
      <c r="Z18" s="16">
        <f>Conversions!Z8</f>
        <v>3.0326359832635985</v>
      </c>
    </row>
    <row r="19" spans="1:26" ht="18" customHeight="1"/>
    <row r="20" spans="1:26" ht="18" customHeight="1">
      <c r="A20" s="15" t="s">
        <v>45</v>
      </c>
    </row>
    <row r="21" spans="1:26" ht="18" customHeight="1">
      <c r="B21" s="19" t="s">
        <v>8</v>
      </c>
      <c r="C21" s="19">
        <f t="shared" ref="C21:X21" si="0">C14</f>
        <v>17</v>
      </c>
      <c r="D21" s="19">
        <f t="shared" si="0"/>
        <v>34</v>
      </c>
      <c r="E21" s="19">
        <f t="shared" si="0"/>
        <v>51</v>
      </c>
      <c r="F21" s="19">
        <f t="shared" si="0"/>
        <v>68</v>
      </c>
      <c r="G21" s="19">
        <f t="shared" si="0"/>
        <v>85</v>
      </c>
      <c r="H21" s="19">
        <f t="shared" si="0"/>
        <v>102</v>
      </c>
      <c r="I21" s="19">
        <f t="shared" si="0"/>
        <v>119</v>
      </c>
      <c r="J21" s="19">
        <f t="shared" si="0"/>
        <v>136</v>
      </c>
      <c r="K21" s="19">
        <f t="shared" si="0"/>
        <v>153</v>
      </c>
      <c r="L21" s="19">
        <f t="shared" si="0"/>
        <v>170</v>
      </c>
      <c r="M21" s="19">
        <f t="shared" si="0"/>
        <v>187</v>
      </c>
      <c r="N21" s="19">
        <f t="shared" si="0"/>
        <v>204</v>
      </c>
      <c r="O21" s="19">
        <f t="shared" si="0"/>
        <v>221</v>
      </c>
      <c r="P21" s="19">
        <f t="shared" si="0"/>
        <v>238</v>
      </c>
      <c r="Q21" s="19">
        <f t="shared" si="0"/>
        <v>255</v>
      </c>
      <c r="R21" s="19">
        <f t="shared" si="0"/>
        <v>272</v>
      </c>
      <c r="S21" s="19">
        <f t="shared" si="0"/>
        <v>289</v>
      </c>
      <c r="T21" s="19">
        <f t="shared" si="0"/>
        <v>306</v>
      </c>
      <c r="U21" s="19">
        <f t="shared" si="0"/>
        <v>323</v>
      </c>
      <c r="V21" s="19">
        <f t="shared" si="0"/>
        <v>340</v>
      </c>
      <c r="W21" s="19">
        <f t="shared" si="0"/>
        <v>357</v>
      </c>
      <c r="X21" s="19">
        <f t="shared" si="0"/>
        <v>374</v>
      </c>
      <c r="Y21" s="19">
        <f t="shared" ref="Y21:Z21" si="1">Y14</f>
        <v>391</v>
      </c>
      <c r="Z21" s="19">
        <f t="shared" si="1"/>
        <v>408</v>
      </c>
    </row>
    <row r="22" spans="1:26" ht="18" customHeight="1">
      <c r="B22" s="20" t="str">
        <f>B15</f>
        <v>P23-1</v>
      </c>
      <c r="C22" s="21">
        <f>C15*$B$5</f>
        <v>-10.271129707112971</v>
      </c>
      <c r="D22" s="21">
        <f>D15*$B$5+$B$10*SUM($C15:C15)</f>
        <v>-4.8414225941422595</v>
      </c>
      <c r="E22" s="21">
        <f>E15*$B$5+$B$10*SUM($C15:D15)</f>
        <v>-0.13347280334728073</v>
      </c>
      <c r="F22" s="21">
        <f>F15*$B$5+$B$10*SUM($C15:E15)</f>
        <v>3.2062761506276134</v>
      </c>
      <c r="G22" s="21">
        <f>G15*$B$5+$B$10*SUM($C15:F15)</f>
        <v>6.1129707112970717</v>
      </c>
      <c r="H22" s="21">
        <f>H15*$B$5+$B$10*SUM($C15:G15)</f>
        <v>8.7393305439330558</v>
      </c>
      <c r="I22" s="21">
        <f>I15*$B$5+$B$10*SUM($C15:H15)</f>
        <v>10.763179916317995</v>
      </c>
      <c r="J22" s="21">
        <f>J15*$B$5+$B$10*SUM($C15:I15)</f>
        <v>13.925104602510457</v>
      </c>
      <c r="K22" s="21">
        <f>K15*$B$5+$B$10*SUM($C15:J15)</f>
        <v>16.649790794979079</v>
      </c>
      <c r="L22" s="21">
        <f>L15*$B$5+$B$10*SUM($C15:K15)</f>
        <v>20.520920502092054</v>
      </c>
      <c r="M22" s="21">
        <f>M15*$B$5+$B$10*SUM($C15:L15)</f>
        <v>23.645188284518831</v>
      </c>
      <c r="N22" s="21">
        <f>N15*$B$5+$B$10*SUM($C15:M15)</f>
        <v>26.171129707112964</v>
      </c>
      <c r="O22" s="21">
        <f>O15*$B$5+$B$10*SUM($C15:N15)</f>
        <v>27.295397489539749</v>
      </c>
      <c r="P22" s="21">
        <f>P15*$B$5+$B$10*SUM($C15:O15)</f>
        <v>30.020083682008369</v>
      </c>
      <c r="Q22" s="21">
        <f>Q15*$B$5+$B$10*SUM($C15:P15)</f>
        <v>32.61715481171548</v>
      </c>
      <c r="R22" s="21">
        <f>R15*$B$5+$B$10*SUM($C15:Q15)</f>
        <v>34.925523012552311</v>
      </c>
      <c r="S22" s="21">
        <f>S15*$B$5+$B$10*SUM($C15:R15)</f>
        <v>37.417991631799154</v>
      </c>
      <c r="T22" s="21">
        <f>T15*$B$5+$B$10*SUM($C15:S15)</f>
        <v>40.891631799163179</v>
      </c>
      <c r="U22" s="21">
        <f>U15*$B$5+$B$10*SUM($C15:T15)</f>
        <v>44.246025104602516</v>
      </c>
      <c r="V22" s="21">
        <f>V15*$B$5+$B$10*SUM($C15:U15)</f>
        <v>47.79707112970712</v>
      </c>
      <c r="W22" s="21">
        <f>W15*$B$5+$B$10*SUM($C15:V15)</f>
        <v>52.977824267782431</v>
      </c>
      <c r="X22" s="21">
        <f>X15*$B$5+$B$10*SUM($C15:W15)</f>
        <v>58.060251046025115</v>
      </c>
      <c r="Y22" s="21">
        <f>Y15*$B$5+$B$10*SUM($C15:X15)</f>
        <v>63.042259414225946</v>
      </c>
      <c r="Z22" s="21">
        <f>Z15*$B$5+$B$10*SUM($C15:Y15)</f>
        <v>68.55774058577407</v>
      </c>
    </row>
    <row r="23" spans="1:26" ht="18" customHeight="1">
      <c r="B23" s="20" t="str">
        <f t="shared" ref="B23:B25" si="2">B16</f>
        <v>P23-2</v>
      </c>
      <c r="C23" s="21">
        <f>C16*$B$6</f>
        <v>-10.431464435146445</v>
      </c>
      <c r="D23" s="21">
        <f>D16*$B$6+$B$10*SUM($C16:C16)</f>
        <v>-2.6917154811715487</v>
      </c>
      <c r="E23" s="21">
        <f>E16*$B$6+$B$10*SUM($C16:D16)</f>
        <v>0.88401673640167422</v>
      </c>
      <c r="F23" s="21">
        <f>F16*$B$6+$B$10*SUM($C16:E16)</f>
        <v>4.5057740585774058</v>
      </c>
      <c r="G23" s="21">
        <f>G16*$B$6+$B$10*SUM($C16:F16)</f>
        <v>6.3693723849372406</v>
      </c>
      <c r="H23" s="21">
        <f>H16*$B$6+$B$10*SUM($C16:G16)</f>
        <v>10.060167364016738</v>
      </c>
      <c r="I23" s="21">
        <f>I16*$B$6+$B$10*SUM($C16:H16)</f>
        <v>12.812887029288699</v>
      </c>
      <c r="J23" s="21">
        <f>J16*$B$6+$B$10*SUM($C16:I16)</f>
        <v>15.107029288702927</v>
      </c>
      <c r="K23" s="21">
        <f>K16*$B$6+$B$10*SUM($C16:J16)</f>
        <v>17.75640167364017</v>
      </c>
      <c r="L23" s="21">
        <f>L16*$B$6+$B$10*SUM($C16:K16)</f>
        <v>20.273138075313813</v>
      </c>
      <c r="M23" s="21">
        <f>M16*$B$6+$B$10*SUM($C16:L16)</f>
        <v>23.63924686192469</v>
      </c>
      <c r="N23" s="21">
        <f>N16*$B$6+$B$10*SUM($C16:M16)</f>
        <v>26.881087866108789</v>
      </c>
      <c r="O23" s="21">
        <f>O16*$B$6+$B$10*SUM($C16:N16)</f>
        <v>28.02836820083682</v>
      </c>
      <c r="P23" s="21">
        <f>P16*$B$6+$B$10*SUM($C16:O16)</f>
        <v>32.466443514644354</v>
      </c>
      <c r="Q23" s="21">
        <f>Q16*$B$6+$B$10*SUM($C16:P16)</f>
        <v>33.676485355648538</v>
      </c>
      <c r="R23" s="21">
        <f>R16*$B$6+$B$10*SUM($C16:Q16)</f>
        <v>36.537154811715489</v>
      </c>
      <c r="S23" s="21">
        <f>S16*$B$6+$B$10*SUM($C16:R16)</f>
        <v>39.265188284518828</v>
      </c>
      <c r="T23" s="21">
        <f>T16*$B$6+$B$10*SUM($C16:S16)</f>
        <v>41.53046025104603</v>
      </c>
      <c r="U23" s="21">
        <f>U16*$B$6+$B$10*SUM($C16:T16)</f>
        <v>45.294895397489547</v>
      </c>
      <c r="V23" s="21">
        <f>V16*$B$6+$B$10*SUM($C16:U16)</f>
        <v>47.132970711297077</v>
      </c>
      <c r="W23" s="21">
        <f>W16*$B$6+$B$10*SUM($C16:V16)</f>
        <v>51.120000000000005</v>
      </c>
      <c r="X23" s="21">
        <f>X16*$B$6+$B$10*SUM($C16:W16)</f>
        <v>56.135062761506283</v>
      </c>
      <c r="Y23" s="21">
        <f>Y16*$B$6+$B$10*SUM($C16:X16)</f>
        <v>60.386527196652729</v>
      </c>
      <c r="Z23" s="21">
        <f>Z16*$B$6+$B$10*SUM($C16:Y16)</f>
        <v>69.604518828451887</v>
      </c>
    </row>
    <row r="24" spans="1:26" ht="18" customHeight="1">
      <c r="B24" s="20" t="str">
        <f t="shared" si="2"/>
        <v>P23-3</v>
      </c>
      <c r="C24" s="21">
        <f>C17*$B$7</f>
        <v>-8.0957322175732234</v>
      </c>
      <c r="D24" s="21">
        <f>D17*$B$7+$B$10*SUM($C17:C17)</f>
        <v>-3.6982426778242696</v>
      </c>
      <c r="E24" s="21">
        <f>E17*$B$7+$B$10*SUM($C17:D17)</f>
        <v>0.47288702928870296</v>
      </c>
      <c r="F24" s="21">
        <f>F17*$B$7+$B$10*SUM($C17:E17)</f>
        <v>2.5205857740585755</v>
      </c>
      <c r="G24" s="21">
        <f>G17*$B$7+$B$10*SUM($C17:F17)</f>
        <v>4.7431799163179909</v>
      </c>
      <c r="H24" s="21">
        <f>H17*$B$7+$B$10*SUM($C17:G17)</f>
        <v>5.6866945606694568</v>
      </c>
      <c r="I24" s="21">
        <f>I17*$B$7+$B$10*SUM($C17:H17)</f>
        <v>8.2444351464435144</v>
      </c>
      <c r="J24" s="21">
        <f>J17*$B$7+$B$10*SUM($C17:I17)</f>
        <v>10.400920502092051</v>
      </c>
      <c r="K24" s="21">
        <f>K17*$B$7+$B$10*SUM($C17:J17)</f>
        <v>13.169121338912131</v>
      </c>
      <c r="L24" s="21">
        <f>L17*$B$7+$B$10*SUM($C17:K17)</f>
        <v>16.411799163179914</v>
      </c>
      <c r="M24" s="21">
        <f>M17*$B$7+$B$10*SUM($C17:L17)</f>
        <v>19.552803347280335</v>
      </c>
      <c r="N24" s="21">
        <f>N17*$B$7+$B$10*SUM($C17:M17)</f>
        <v>21.716401673640171</v>
      </c>
      <c r="O24" s="21">
        <f>O17*$B$7+$B$10*SUM($C17:N17)</f>
        <v>25.363263598326355</v>
      </c>
      <c r="P24" s="21">
        <f>P17*$B$7+$B$10*SUM($C17:O17)</f>
        <v>27.165355648535563</v>
      </c>
      <c r="Q24" s="21">
        <f>Q17*$B$7+$B$10*SUM($C17:P17)</f>
        <v>29.13397489539749</v>
      </c>
      <c r="R24" s="21">
        <f>R17*$B$7+$B$10*SUM($C17:Q17)</f>
        <v>31.125606694560673</v>
      </c>
      <c r="S24" s="21">
        <f>S17*$B$7+$B$10*SUM($C17:R17)</f>
        <v>33.285857740585776</v>
      </c>
      <c r="T24" s="21">
        <f>T17*$B$7+$B$10*SUM($C17:S17)</f>
        <v>34.597573221757315</v>
      </c>
      <c r="U24" s="21">
        <f>U17*$B$7+$B$10*SUM($C17:T17)</f>
        <v>38.833974895397496</v>
      </c>
      <c r="V24" s="21">
        <f>V17*$B$7+$B$10*SUM($C17:U17)</f>
        <v>39.630209205020918</v>
      </c>
      <c r="W24" s="21">
        <f>W17*$B$7+$B$10*SUM($C17:V17)</f>
        <v>44.36200836820084</v>
      </c>
      <c r="X24" s="21">
        <f>X17*$B$7+$B$10*SUM($C17:W17)</f>
        <v>47.84401673640167</v>
      </c>
      <c r="Y24" s="21">
        <f>Y17*$B$7+$B$10*SUM($C17:X17)</f>
        <v>52.3871129707113</v>
      </c>
      <c r="Z24" s="21">
        <f>Z17*$B$7+$B$10*SUM($C17:Y17)</f>
        <v>62.228535564853559</v>
      </c>
    </row>
    <row r="25" spans="1:26" ht="18" customHeight="1">
      <c r="B25" s="20" t="str">
        <f t="shared" si="2"/>
        <v>P23-4</v>
      </c>
      <c r="C25" s="21">
        <f>C18*$B$8</f>
        <v>-8.891380753138078</v>
      </c>
      <c r="D25" s="21">
        <f>D18*$B$8+$B$10*SUM($C18:C18)</f>
        <v>-4.9445188284518835</v>
      </c>
      <c r="E25" s="21">
        <f>E18*$B$8+$B$10*SUM($C18:D18)</f>
        <v>6.6778242677823979E-2</v>
      </c>
      <c r="F25" s="21">
        <f>F18*$B$8+$B$10*SUM($C18:E18)</f>
        <v>1.9291213389121304</v>
      </c>
      <c r="G25" s="21">
        <f>G18*$B$8+$B$10*SUM($C18:F18)</f>
        <v>4.3215899581589952</v>
      </c>
      <c r="H25" s="21">
        <f>H18*$B$8+$B$10*SUM($C18:G18)</f>
        <v>6.5743096234309633</v>
      </c>
      <c r="I25" s="21">
        <f>I18*$B$8+$B$10*SUM($C18:H18)</f>
        <v>9.0232635983263609</v>
      </c>
      <c r="J25" s="21">
        <f>J18*$B$8+$B$10*SUM($C18:I18)</f>
        <v>12.853807531380749</v>
      </c>
      <c r="K25" s="21">
        <f>K18*$B$8+$B$10*SUM($C18:J18)</f>
        <v>16.05422594142259</v>
      </c>
      <c r="L25" s="21">
        <f>L18*$B$8+$B$10*SUM($C18:K18)</f>
        <v>19.630376569037654</v>
      </c>
      <c r="M25" s="21">
        <f>M18*$B$8+$B$10*SUM($C18:L18)</f>
        <v>21.72702928870293</v>
      </c>
      <c r="N25" s="21">
        <f>N18*$B$8+$B$10*SUM($C18:M18)</f>
        <v>23.677656903765694</v>
      </c>
      <c r="O25" s="21">
        <f>O18*$B$8+$B$10*SUM($C18:N18)</f>
        <v>26.494393305439338</v>
      </c>
      <c r="P25" s="21">
        <f>P18*$B$8+$B$10*SUM($C18:O18)</f>
        <v>27.652133891213385</v>
      </c>
      <c r="Q25" s="21">
        <f>Q18*$B$8+$B$10*SUM($C18:P18)</f>
        <v>31.863012552301257</v>
      </c>
      <c r="R25" s="21">
        <f>R18*$B$8+$B$10*SUM($C18:Q18)</f>
        <v>34.431631799163185</v>
      </c>
      <c r="S25" s="21">
        <f>S18*$B$8+$B$10*SUM($C18:R18)</f>
        <v>38.379748953974904</v>
      </c>
      <c r="T25" s="21">
        <f>T18*$B$8+$B$10*SUM($C18:S18)</f>
        <v>39.66719665271966</v>
      </c>
      <c r="U25" s="21">
        <f>U18*$B$8+$B$10*SUM($C18:T18)</f>
        <v>43.838744769874481</v>
      </c>
      <c r="V25" s="21">
        <f>V18*$B$8+$B$10*SUM($C18:U18)</f>
        <v>45.520753138075314</v>
      </c>
      <c r="W25" s="21">
        <f>W18*$B$8+$B$10*SUM($C18:V18)</f>
        <v>47.048368200836826</v>
      </c>
      <c r="X25" s="21">
        <f>X18*$B$8+$B$10*SUM($C18:W18)</f>
        <v>50.109874476987457</v>
      </c>
      <c r="Y25" s="21">
        <f>Y18*$B$8+$B$10*SUM($C18:X18)</f>
        <v>56.921589958158997</v>
      </c>
      <c r="Z25" s="21">
        <f>Z18*$B$8+$B$10*SUM($C18:Y18)</f>
        <v>67.529539748953979</v>
      </c>
    </row>
    <row r="26" spans="1:26" ht="18" customHeight="1"/>
    <row r="27" spans="1:26" ht="18" customHeight="1">
      <c r="A27" s="15" t="s">
        <v>46</v>
      </c>
    </row>
    <row r="28" spans="1:26" ht="18" customHeight="1">
      <c r="B28" s="19" t="s">
        <v>8</v>
      </c>
      <c r="C28" s="19">
        <f t="shared" ref="C28:X28" si="3">C14</f>
        <v>17</v>
      </c>
      <c r="D28" s="19">
        <f t="shared" si="3"/>
        <v>34</v>
      </c>
      <c r="E28" s="19">
        <f t="shared" si="3"/>
        <v>51</v>
      </c>
      <c r="F28" s="19">
        <f t="shared" si="3"/>
        <v>68</v>
      </c>
      <c r="G28" s="19">
        <f t="shared" si="3"/>
        <v>85</v>
      </c>
      <c r="H28" s="19">
        <f t="shared" si="3"/>
        <v>102</v>
      </c>
      <c r="I28" s="19">
        <f t="shared" si="3"/>
        <v>119</v>
      </c>
      <c r="J28" s="19">
        <f t="shared" si="3"/>
        <v>136</v>
      </c>
      <c r="K28" s="19">
        <f t="shared" si="3"/>
        <v>153</v>
      </c>
      <c r="L28" s="19">
        <f t="shared" si="3"/>
        <v>170</v>
      </c>
      <c r="M28" s="19">
        <f t="shared" si="3"/>
        <v>187</v>
      </c>
      <c r="N28" s="19">
        <f t="shared" si="3"/>
        <v>204</v>
      </c>
      <c r="O28" s="19">
        <f t="shared" si="3"/>
        <v>221</v>
      </c>
      <c r="P28" s="19">
        <f t="shared" si="3"/>
        <v>238</v>
      </c>
      <c r="Q28" s="19">
        <f t="shared" si="3"/>
        <v>255</v>
      </c>
      <c r="R28" s="19">
        <f t="shared" si="3"/>
        <v>272</v>
      </c>
      <c r="S28" s="19">
        <f t="shared" si="3"/>
        <v>289</v>
      </c>
      <c r="T28" s="19">
        <f t="shared" si="3"/>
        <v>306</v>
      </c>
      <c r="U28" s="19">
        <f t="shared" si="3"/>
        <v>323</v>
      </c>
      <c r="V28" s="19">
        <f t="shared" si="3"/>
        <v>340</v>
      </c>
      <c r="W28" s="19">
        <f t="shared" si="3"/>
        <v>357</v>
      </c>
      <c r="X28" s="19">
        <f t="shared" si="3"/>
        <v>374</v>
      </c>
      <c r="Y28" s="19">
        <f t="shared" ref="Y28:Z28" si="4">Y14</f>
        <v>391</v>
      </c>
      <c r="Z28" s="19">
        <f t="shared" si="4"/>
        <v>408</v>
      </c>
    </row>
    <row r="29" spans="1:26" ht="18" customHeight="1">
      <c r="B29" s="20" t="str">
        <f>B22</f>
        <v>P23-1</v>
      </c>
      <c r="C29" s="22">
        <f>C22/$B$11*100</f>
        <v>-4.1084518828451886</v>
      </c>
      <c r="D29" s="22">
        <f t="shared" ref="D29:X29" si="5">D22/$B$11*100</f>
        <v>-1.9365690376569038</v>
      </c>
      <c r="E29" s="22">
        <f t="shared" si="5"/>
        <v>-5.3389121338912299E-2</v>
      </c>
      <c r="F29" s="22">
        <f t="shared" si="5"/>
        <v>1.2825104602510453</v>
      </c>
      <c r="G29" s="22">
        <f t="shared" si="5"/>
        <v>2.4451882845188284</v>
      </c>
      <c r="H29" s="22">
        <f t="shared" si="5"/>
        <v>3.4957322175732228</v>
      </c>
      <c r="I29" s="22">
        <f t="shared" si="5"/>
        <v>4.3052719665271981</v>
      </c>
      <c r="J29" s="22">
        <f t="shared" si="5"/>
        <v>5.5700418410041825</v>
      </c>
      <c r="K29" s="22">
        <f t="shared" si="5"/>
        <v>6.6599163179916321</v>
      </c>
      <c r="L29" s="22">
        <f t="shared" si="5"/>
        <v>8.2083682008368211</v>
      </c>
      <c r="M29" s="22">
        <f t="shared" si="5"/>
        <v>9.458075313807532</v>
      </c>
      <c r="N29" s="22">
        <f t="shared" si="5"/>
        <v>10.468451882845185</v>
      </c>
      <c r="O29" s="22">
        <f t="shared" si="5"/>
        <v>10.918158995815899</v>
      </c>
      <c r="P29" s="22">
        <f t="shared" si="5"/>
        <v>12.008033472803348</v>
      </c>
      <c r="Q29" s="22">
        <f t="shared" si="5"/>
        <v>13.046861924686192</v>
      </c>
      <c r="R29" s="22">
        <f t="shared" si="5"/>
        <v>13.970209205020925</v>
      </c>
      <c r="S29" s="22">
        <f t="shared" si="5"/>
        <v>14.967196652719661</v>
      </c>
      <c r="T29" s="22">
        <f t="shared" si="5"/>
        <v>16.35665271966527</v>
      </c>
      <c r="U29" s="22">
        <f t="shared" si="5"/>
        <v>17.698410041841008</v>
      </c>
      <c r="V29" s="22">
        <f t="shared" si="5"/>
        <v>19.118828451882848</v>
      </c>
      <c r="W29" s="22">
        <f t="shared" si="5"/>
        <v>21.191129707112971</v>
      </c>
      <c r="X29" s="22">
        <f t="shared" si="5"/>
        <v>23.224100418410046</v>
      </c>
      <c r="Y29" s="22">
        <f t="shared" ref="Y29:Z29" si="6">Y22/$B$11*100</f>
        <v>25.216903765690379</v>
      </c>
      <c r="Z29" s="22">
        <f t="shared" si="6"/>
        <v>27.423096234309629</v>
      </c>
    </row>
    <row r="30" spans="1:26" ht="18" customHeight="1">
      <c r="B30" s="20" t="str">
        <f t="shared" ref="B30:B32" si="7">B23</f>
        <v>P23-2</v>
      </c>
      <c r="C30" s="22">
        <f t="shared" ref="C30:X30" si="8">C23/$B$11*100</f>
        <v>-4.1725857740585779</v>
      </c>
      <c r="D30" s="22">
        <f t="shared" si="8"/>
        <v>-1.0766861924686195</v>
      </c>
      <c r="E30" s="22">
        <f t="shared" si="8"/>
        <v>0.35360669456066968</v>
      </c>
      <c r="F30" s="22">
        <f t="shared" si="8"/>
        <v>1.8023096234309623</v>
      </c>
      <c r="G30" s="22">
        <f t="shared" si="8"/>
        <v>2.5477489539748963</v>
      </c>
      <c r="H30" s="22">
        <f t="shared" si="8"/>
        <v>4.0240669456066955</v>
      </c>
      <c r="I30" s="22">
        <f t="shared" si="8"/>
        <v>5.1251548117154799</v>
      </c>
      <c r="J30" s="22">
        <f t="shared" si="8"/>
        <v>6.0428117154811707</v>
      </c>
      <c r="K30" s="22">
        <f t="shared" si="8"/>
        <v>7.1025606694560679</v>
      </c>
      <c r="L30" s="22">
        <f t="shared" si="8"/>
        <v>8.109255230125525</v>
      </c>
      <c r="M30" s="22">
        <f t="shared" si="8"/>
        <v>9.4556987447698759</v>
      </c>
      <c r="N30" s="22">
        <f t="shared" si="8"/>
        <v>10.752435146443515</v>
      </c>
      <c r="O30" s="22">
        <f t="shared" si="8"/>
        <v>11.211347280334728</v>
      </c>
      <c r="P30" s="22">
        <f t="shared" si="8"/>
        <v>12.986577405857741</v>
      </c>
      <c r="Q30" s="22">
        <f t="shared" si="8"/>
        <v>13.470594142259415</v>
      </c>
      <c r="R30" s="22">
        <f t="shared" si="8"/>
        <v>14.614861924686195</v>
      </c>
      <c r="S30" s="22">
        <f t="shared" si="8"/>
        <v>15.706075313807533</v>
      </c>
      <c r="T30" s="22">
        <f t="shared" si="8"/>
        <v>16.612184100418411</v>
      </c>
      <c r="U30" s="22">
        <f t="shared" si="8"/>
        <v>18.117958158995819</v>
      </c>
      <c r="V30" s="22">
        <f t="shared" si="8"/>
        <v>18.853188284518833</v>
      </c>
      <c r="W30" s="22">
        <f t="shared" si="8"/>
        <v>20.448000000000004</v>
      </c>
      <c r="X30" s="22">
        <f t="shared" si="8"/>
        <v>22.454025104602511</v>
      </c>
      <c r="Y30" s="22">
        <f t="shared" ref="Y30:Z30" si="9">Y23/$B$11*100</f>
        <v>24.154610878661092</v>
      </c>
      <c r="Z30" s="22">
        <f t="shared" si="9"/>
        <v>27.841807531380752</v>
      </c>
    </row>
    <row r="31" spans="1:26" ht="18" customHeight="1">
      <c r="B31" s="20" t="str">
        <f t="shared" si="7"/>
        <v>P23-3</v>
      </c>
      <c r="C31" s="22">
        <f t="shared" ref="C31:X31" si="10">C24/$B$11*100</f>
        <v>-3.2382928870292891</v>
      </c>
      <c r="D31" s="22">
        <f t="shared" si="10"/>
        <v>-1.479297071129708</v>
      </c>
      <c r="E31" s="22">
        <f t="shared" si="10"/>
        <v>0.18915481171548121</v>
      </c>
      <c r="F31" s="22">
        <f t="shared" si="10"/>
        <v>1.0082343096234303</v>
      </c>
      <c r="G31" s="22">
        <f t="shared" si="10"/>
        <v>1.8972719665271964</v>
      </c>
      <c r="H31" s="22">
        <f t="shared" si="10"/>
        <v>2.274677824267783</v>
      </c>
      <c r="I31" s="22">
        <f t="shared" si="10"/>
        <v>3.297774058577406</v>
      </c>
      <c r="J31" s="22">
        <f t="shared" si="10"/>
        <v>4.1603682008368201</v>
      </c>
      <c r="K31" s="22">
        <f t="shared" si="10"/>
        <v>5.2676485355648524</v>
      </c>
      <c r="L31" s="22">
        <f t="shared" si="10"/>
        <v>6.5647196652719657</v>
      </c>
      <c r="M31" s="22">
        <f t="shared" si="10"/>
        <v>7.8211213389121337</v>
      </c>
      <c r="N31" s="22">
        <f t="shared" si="10"/>
        <v>8.6865606694560693</v>
      </c>
      <c r="O31" s="22">
        <f t="shared" si="10"/>
        <v>10.145305439330542</v>
      </c>
      <c r="P31" s="22">
        <f t="shared" si="10"/>
        <v>10.866142259414225</v>
      </c>
      <c r="Q31" s="22">
        <f t="shared" si="10"/>
        <v>11.653589958158996</v>
      </c>
      <c r="R31" s="22">
        <f t="shared" si="10"/>
        <v>12.450242677824269</v>
      </c>
      <c r="S31" s="22">
        <f t="shared" si="10"/>
        <v>13.31434309623431</v>
      </c>
      <c r="T31" s="22">
        <f t="shared" si="10"/>
        <v>13.839029288702925</v>
      </c>
      <c r="U31" s="22">
        <f t="shared" si="10"/>
        <v>15.533589958159</v>
      </c>
      <c r="V31" s="22">
        <f t="shared" si="10"/>
        <v>15.852083682008367</v>
      </c>
      <c r="W31" s="22">
        <f t="shared" si="10"/>
        <v>17.744803347280335</v>
      </c>
      <c r="X31" s="22">
        <f t="shared" si="10"/>
        <v>19.13760669456067</v>
      </c>
      <c r="Y31" s="22">
        <f t="shared" ref="Y31:Z31" si="11">Y24/$B$11*100</f>
        <v>20.954845188284523</v>
      </c>
      <c r="Z31" s="22">
        <f t="shared" si="11"/>
        <v>24.891414225941425</v>
      </c>
    </row>
    <row r="32" spans="1:26" ht="18" customHeight="1">
      <c r="B32" s="20" t="str">
        <f t="shared" si="7"/>
        <v>P23-4</v>
      </c>
      <c r="C32" s="22">
        <f t="shared" ref="C32:X32" si="12">C25/$B$11*100</f>
        <v>-3.5565523012552314</v>
      </c>
      <c r="D32" s="22">
        <f t="shared" si="12"/>
        <v>-1.9778075313807535</v>
      </c>
      <c r="E32" s="22">
        <f t="shared" si="12"/>
        <v>2.671129707112959E-2</v>
      </c>
      <c r="F32" s="22">
        <f t="shared" si="12"/>
        <v>0.77164853556485213</v>
      </c>
      <c r="G32" s="22">
        <f t="shared" si="12"/>
        <v>1.7286359832635982</v>
      </c>
      <c r="H32" s="22">
        <f t="shared" si="12"/>
        <v>2.6297238493723856</v>
      </c>
      <c r="I32" s="22">
        <f t="shared" si="12"/>
        <v>3.6093054393305444</v>
      </c>
      <c r="J32" s="22">
        <f t="shared" si="12"/>
        <v>5.141523012552299</v>
      </c>
      <c r="K32" s="22">
        <f t="shared" si="12"/>
        <v>6.4216903765690363</v>
      </c>
      <c r="L32" s="22">
        <f t="shared" si="12"/>
        <v>7.8521506276150621</v>
      </c>
      <c r="M32" s="22">
        <f t="shared" si="12"/>
        <v>8.690811715481173</v>
      </c>
      <c r="N32" s="22">
        <f t="shared" si="12"/>
        <v>9.4710627615062766</v>
      </c>
      <c r="O32" s="22">
        <f t="shared" si="12"/>
        <v>10.597757322175735</v>
      </c>
      <c r="P32" s="22">
        <f t="shared" si="12"/>
        <v>11.060853556485354</v>
      </c>
      <c r="Q32" s="22">
        <f t="shared" si="12"/>
        <v>12.745205020920503</v>
      </c>
      <c r="R32" s="22">
        <f t="shared" si="12"/>
        <v>13.772652719665274</v>
      </c>
      <c r="S32" s="22">
        <f t="shared" si="12"/>
        <v>15.351899581589961</v>
      </c>
      <c r="T32" s="22">
        <f t="shared" si="12"/>
        <v>15.866878661087863</v>
      </c>
      <c r="U32" s="22">
        <f t="shared" si="12"/>
        <v>17.535497907949793</v>
      </c>
      <c r="V32" s="22">
        <f t="shared" si="12"/>
        <v>18.208301255230126</v>
      </c>
      <c r="W32" s="22">
        <f t="shared" si="12"/>
        <v>18.819347280334732</v>
      </c>
      <c r="X32" s="22">
        <f t="shared" si="12"/>
        <v>20.043949790794983</v>
      </c>
      <c r="Y32" s="22">
        <f t="shared" ref="Y32:Z32" si="13">Y25/$B$11*100</f>
        <v>22.7686359832636</v>
      </c>
      <c r="Z32" s="22">
        <f t="shared" si="13"/>
        <v>27.011815899581592</v>
      </c>
    </row>
    <row r="33" spans="1:26" ht="18" customHeight="1"/>
    <row r="34" spans="1:26" ht="18" customHeight="1">
      <c r="A34" s="23" t="s">
        <v>51</v>
      </c>
      <c r="B34" s="23" t="s">
        <v>29</v>
      </c>
      <c r="C34" s="22">
        <f t="shared" ref="C34:X34" si="14">AVERAGE(C29:C32)</f>
        <v>-3.7689707112970714</v>
      </c>
      <c r="D34" s="22">
        <f t="shared" si="14"/>
        <v>-1.6175899581589963</v>
      </c>
      <c r="E34" s="22">
        <f t="shared" si="14"/>
        <v>0.12902092050209205</v>
      </c>
      <c r="F34" s="22">
        <f t="shared" si="14"/>
        <v>1.2161757322175726</v>
      </c>
      <c r="G34" s="22">
        <f>AVERAGE(G29:G32)</f>
        <v>2.1547112970711302</v>
      </c>
      <c r="H34" s="22">
        <f>AVERAGE(H29:H32)</f>
        <v>3.106050209205022</v>
      </c>
      <c r="I34" s="22">
        <f t="shared" si="14"/>
        <v>4.0843765690376568</v>
      </c>
      <c r="J34" s="22">
        <f t="shared" si="14"/>
        <v>5.2286861924686177</v>
      </c>
      <c r="K34" s="22">
        <f t="shared" si="14"/>
        <v>6.3629539748953965</v>
      </c>
      <c r="L34" s="22">
        <f t="shared" si="14"/>
        <v>7.6836234309623439</v>
      </c>
      <c r="M34" s="22">
        <f t="shared" si="14"/>
        <v>8.85642677824268</v>
      </c>
      <c r="N34" s="22">
        <f t="shared" si="14"/>
        <v>9.8446276150627607</v>
      </c>
      <c r="O34" s="22">
        <f t="shared" si="14"/>
        <v>10.718142259414225</v>
      </c>
      <c r="P34" s="22">
        <f t="shared" si="14"/>
        <v>11.730401673640166</v>
      </c>
      <c r="Q34" s="22">
        <f t="shared" si="14"/>
        <v>12.729062761506276</v>
      </c>
      <c r="R34" s="22">
        <f t="shared" si="14"/>
        <v>13.701991631799165</v>
      </c>
      <c r="S34" s="22">
        <f t="shared" si="14"/>
        <v>14.834878661087867</v>
      </c>
      <c r="T34" s="22">
        <f t="shared" si="14"/>
        <v>15.668686192468616</v>
      </c>
      <c r="U34" s="22">
        <f t="shared" si="14"/>
        <v>17.221364016736405</v>
      </c>
      <c r="V34" s="22">
        <f t="shared" si="14"/>
        <v>18.008100418410045</v>
      </c>
      <c r="W34" s="22">
        <f t="shared" si="14"/>
        <v>19.550820083682012</v>
      </c>
      <c r="X34" s="22">
        <f t="shared" si="14"/>
        <v>21.214920502092053</v>
      </c>
      <c r="Y34" s="22">
        <f t="shared" ref="Y34:Z34" si="15">AVERAGE(Y29:Y32)</f>
        <v>23.273748953974902</v>
      </c>
      <c r="Z34" s="22">
        <f t="shared" si="15"/>
        <v>26.792033472803347</v>
      </c>
    </row>
    <row r="35" spans="1:26" ht="18" customHeight="1">
      <c r="B35" s="23" t="s">
        <v>47</v>
      </c>
      <c r="C35" s="22">
        <f t="shared" ref="C35:X35" si="16">STDEV(C29:C32)</f>
        <v>0.4490334504310175</v>
      </c>
      <c r="D35" s="22">
        <f t="shared" si="16"/>
        <v>0.42552170315039101</v>
      </c>
      <c r="E35" s="22">
        <f t="shared" si="16"/>
        <v>0.18055058127200488</v>
      </c>
      <c r="F35" s="22">
        <f t="shared" si="16"/>
        <v>0.44301892298434498</v>
      </c>
      <c r="G35" s="22">
        <f t="shared" si="16"/>
        <v>0.40276985236740492</v>
      </c>
      <c r="H35" s="22">
        <f t="shared" si="16"/>
        <v>0.798472216061625</v>
      </c>
      <c r="I35" s="22">
        <f t="shared" si="16"/>
        <v>0.81167526651306654</v>
      </c>
      <c r="J35" s="22">
        <f t="shared" si="16"/>
        <v>0.80171166828333373</v>
      </c>
      <c r="K35" s="22">
        <f t="shared" si="16"/>
        <v>0.78280450223642428</v>
      </c>
      <c r="L35" s="22">
        <f t="shared" si="16"/>
        <v>0.76089126574415722</v>
      </c>
      <c r="M35" s="22">
        <f t="shared" si="16"/>
        <v>0.77897230415756047</v>
      </c>
      <c r="N35" s="22">
        <f t="shared" si="16"/>
        <v>0.94761823913525189</v>
      </c>
      <c r="O35" s="22">
        <f t="shared" si="16"/>
        <v>0.45676122247095047</v>
      </c>
      <c r="P35" s="22">
        <f t="shared" si="16"/>
        <v>0.9747300314074433</v>
      </c>
      <c r="Q35" s="22">
        <f t="shared" si="16"/>
        <v>0.77626615281920019</v>
      </c>
      <c r="R35" s="22">
        <f t="shared" si="16"/>
        <v>0.90868793164215478</v>
      </c>
      <c r="S35" s="22">
        <f t="shared" si="16"/>
        <v>1.0576437167655246</v>
      </c>
      <c r="T35" s="22">
        <f t="shared" si="16"/>
        <v>1.2583601610778357</v>
      </c>
      <c r="U35" s="22">
        <f t="shared" si="16"/>
        <v>1.1516242645958368</v>
      </c>
      <c r="V35" s="22">
        <f t="shared" si="16"/>
        <v>1.4873218446247907</v>
      </c>
      <c r="W35" s="22">
        <f t="shared" si="16"/>
        <v>1.5590912285863054</v>
      </c>
      <c r="X35" s="22">
        <f t="shared" si="16"/>
        <v>1.9372307738775192</v>
      </c>
      <c r="Y35" s="22">
        <f t="shared" ref="Y35:Z35" si="17">STDEV(Y29:Y32)</f>
        <v>1.8424822152347169</v>
      </c>
      <c r="Z35" s="22">
        <f t="shared" si="17"/>
        <v>1.31160507517628</v>
      </c>
    </row>
    <row r="36" spans="1:26" ht="18" customHeight="1">
      <c r="B36" s="23" t="s">
        <v>48</v>
      </c>
      <c r="C36" s="22">
        <f t="shared" ref="C36:X36" si="18">IFERROR(C35/C34*100,"")</f>
        <v>-11.913954361202372</v>
      </c>
      <c r="D36" s="22">
        <f t="shared" si="18"/>
        <v>-26.305906574412948</v>
      </c>
      <c r="E36" s="22">
        <f t="shared" si="18"/>
        <v>139.93899638088328</v>
      </c>
      <c r="F36" s="22">
        <f t="shared" si="18"/>
        <v>36.427212881196461</v>
      </c>
      <c r="G36" s="22">
        <f t="shared" si="18"/>
        <v>18.692520567135119</v>
      </c>
      <c r="H36" s="22">
        <f t="shared" si="18"/>
        <v>25.706996419288082</v>
      </c>
      <c r="I36" s="22">
        <f t="shared" si="18"/>
        <v>19.87268443037587</v>
      </c>
      <c r="J36" s="22">
        <f t="shared" si="18"/>
        <v>15.332946724515933</v>
      </c>
      <c r="K36" s="22">
        <f t="shared" si="18"/>
        <v>12.302532838127171</v>
      </c>
      <c r="L36" s="22">
        <f t="shared" si="18"/>
        <v>9.9027662219627874</v>
      </c>
      <c r="M36" s="22">
        <f t="shared" si="18"/>
        <v>8.7955596953755499</v>
      </c>
      <c r="N36" s="22">
        <f t="shared" si="18"/>
        <v>9.6257398064031356</v>
      </c>
      <c r="O36" s="22">
        <f t="shared" si="18"/>
        <v>4.2615708153132283</v>
      </c>
      <c r="P36" s="22">
        <f t="shared" si="18"/>
        <v>8.3094343955654679</v>
      </c>
      <c r="Q36" s="22">
        <f t="shared" si="18"/>
        <v>6.0983763483882907</v>
      </c>
      <c r="R36" s="22">
        <f t="shared" si="18"/>
        <v>6.6317945307549264</v>
      </c>
      <c r="S36" s="22">
        <f t="shared" si="18"/>
        <v>7.1294396194809577</v>
      </c>
      <c r="T36" s="22">
        <f t="shared" si="18"/>
        <v>8.031050884679054</v>
      </c>
      <c r="U36" s="22">
        <f t="shared" si="18"/>
        <v>6.6871837995912671</v>
      </c>
      <c r="V36" s="22">
        <f t="shared" si="18"/>
        <v>8.259182312778929</v>
      </c>
      <c r="W36" s="22">
        <f t="shared" si="18"/>
        <v>7.9745566779962989</v>
      </c>
      <c r="X36" s="22">
        <f t="shared" si="18"/>
        <v>9.1314543162510766</v>
      </c>
      <c r="Y36" s="22">
        <f t="shared" ref="Y36:Z36" si="19">IFERROR(Y35/Y34*100,"")</f>
        <v>7.916568228343122</v>
      </c>
      <c r="Z36" s="22">
        <f t="shared" si="19"/>
        <v>4.8955040180421285</v>
      </c>
    </row>
    <row r="38" spans="1:26" ht="35" customHeight="1">
      <c r="A38" s="23" t="s">
        <v>50</v>
      </c>
      <c r="B38" s="32" t="s">
        <v>49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</sheetData>
  <mergeCells count="5">
    <mergeCell ref="A2:X2"/>
    <mergeCell ref="E11:X11"/>
    <mergeCell ref="E10:X10"/>
    <mergeCell ref="A1:X1"/>
    <mergeCell ref="B38:X38"/>
  </mergeCell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Info</vt:lpstr>
      <vt:lpstr>Correction Blank</vt:lpstr>
      <vt:lpstr>Conversions</vt:lpstr>
      <vt:lpstr>Cumulative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2026-09-28T15:36:39Z</dcterms:modified>
</cp:coreProperties>
</file>