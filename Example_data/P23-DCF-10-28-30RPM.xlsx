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0" documentId="8_{310EBF3D-98F5-3549-BF8E-F912D78237A5}" xr6:coauthVersionLast="47" xr6:coauthVersionMax="47" xr10:uidLastSave="{00000000-0000-0000-0000-000000000000}"/>
  <bookViews>
    <workbookView xWindow="4180" yWindow="-14840" windowWidth="30240" windowHeight="18980" activeTab="4" xr2:uid="{00000000-000D-0000-FFFF-FFFF00000000}"/>
  </bookViews>
  <sheets>
    <sheet name="Sheet 1" sheetId="1" r:id="rId1"/>
    <sheet name="Info" sheetId="2" r:id="rId2"/>
    <sheet name="Correction Blank" sheetId="3" r:id="rId3"/>
    <sheet name="Conversions" sheetId="4" r:id="rId4"/>
    <sheet name="Cumulative Release" sheetId="5" r:id="rId5"/>
    <sheet name="STD DC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+Q2guVOTOHWOWoF64RG7UvaoYRrJrpR5e+L3V1Cg3fg="/>
    </ext>
  </extLst>
</workbook>
</file>

<file path=xl/calcChain.xml><?xml version="1.0" encoding="utf-8"?>
<calcChain xmlns="http://schemas.openxmlformats.org/spreadsheetml/2006/main">
  <c r="B6" i="5" l="1"/>
  <c r="B7" i="5"/>
  <c r="B8" i="5"/>
  <c r="B5" i="5"/>
  <c r="B5" i="2"/>
  <c r="B18" i="2" s="1"/>
  <c r="C5" i="2"/>
  <c r="C18" i="2" s="1"/>
  <c r="D5" i="2"/>
  <c r="D18" i="2" s="1"/>
  <c r="E5" i="2"/>
  <c r="E18" i="2" s="1"/>
  <c r="F5" i="2"/>
  <c r="F18" i="2" s="1"/>
  <c r="G5" i="2"/>
  <c r="G18" i="2" s="1"/>
  <c r="H5" i="2"/>
  <c r="H18" i="2" s="1"/>
  <c r="I5" i="2"/>
  <c r="I18" i="2" s="1"/>
  <c r="J5" i="2"/>
  <c r="J18" i="2" s="1"/>
  <c r="K6" i="3" s="1"/>
  <c r="K6" i="4" s="1"/>
  <c r="K5" i="2"/>
  <c r="K18" i="2" s="1"/>
  <c r="L6" i="3" s="1"/>
  <c r="L6" i="4" s="1"/>
  <c r="L5" i="2"/>
  <c r="L18" i="2" s="1"/>
  <c r="M6" i="3" s="1"/>
  <c r="M6" i="4" s="1"/>
  <c r="M5" i="2"/>
  <c r="M18" i="2" s="1"/>
  <c r="B6" i="2"/>
  <c r="B19" i="2" s="1"/>
  <c r="C7" i="3" s="1"/>
  <c r="C7" i="4" s="1"/>
  <c r="C6" i="2"/>
  <c r="C19" i="2" s="1"/>
  <c r="D7" i="3" s="1"/>
  <c r="D7" i="4" s="1"/>
  <c r="D6" i="2"/>
  <c r="D19" i="2" s="1"/>
  <c r="E7" i="3" s="1"/>
  <c r="E7" i="4" s="1"/>
  <c r="E6" i="2"/>
  <c r="E19" i="2" s="1"/>
  <c r="F7" i="3" s="1"/>
  <c r="F7" i="4" s="1"/>
  <c r="F6" i="2"/>
  <c r="G6" i="2"/>
  <c r="G19" i="2" s="1"/>
  <c r="H7" i="3" s="1"/>
  <c r="H7" i="4" s="1"/>
  <c r="H6" i="2"/>
  <c r="H19" i="2" s="1"/>
  <c r="I7" i="3" s="1"/>
  <c r="I7" i="4" s="1"/>
  <c r="I6" i="2"/>
  <c r="I19" i="2" s="1"/>
  <c r="J7" i="3" s="1"/>
  <c r="J7" i="4" s="1"/>
  <c r="J6" i="2"/>
  <c r="J19" i="2" s="1"/>
  <c r="K7" i="3" s="1"/>
  <c r="K7" i="4" s="1"/>
  <c r="K6" i="2"/>
  <c r="K19" i="2" s="1"/>
  <c r="L7" i="3" s="1"/>
  <c r="L7" i="4" s="1"/>
  <c r="L6" i="2"/>
  <c r="L19" i="2" s="1"/>
  <c r="M7" i="3" s="1"/>
  <c r="M7" i="4" s="1"/>
  <c r="M6" i="2"/>
  <c r="M19" i="2" s="1"/>
  <c r="N7" i="3" s="1"/>
  <c r="N7" i="4" s="1"/>
  <c r="B7" i="2"/>
  <c r="B20" i="2" s="1"/>
  <c r="C8" i="3" s="1"/>
  <c r="C8" i="4" s="1"/>
  <c r="C7" i="2"/>
  <c r="C20" i="2" s="1"/>
  <c r="D8" i="3" s="1"/>
  <c r="D8" i="4" s="1"/>
  <c r="D7" i="2"/>
  <c r="D20" i="2" s="1"/>
  <c r="E8" i="3" s="1"/>
  <c r="E8" i="4" s="1"/>
  <c r="E7" i="2"/>
  <c r="E20" i="2" s="1"/>
  <c r="F8" i="3" s="1"/>
  <c r="F8" i="4" s="1"/>
  <c r="F7" i="2"/>
  <c r="F20" i="2" s="1"/>
  <c r="G8" i="3" s="1"/>
  <c r="G8" i="4" s="1"/>
  <c r="G7" i="2"/>
  <c r="G20" i="2" s="1"/>
  <c r="H8" i="3" s="1"/>
  <c r="H8" i="4" s="1"/>
  <c r="H7" i="2"/>
  <c r="H20" i="2" s="1"/>
  <c r="I8" i="3" s="1"/>
  <c r="I8" i="4" s="1"/>
  <c r="I7" i="2"/>
  <c r="I20" i="2" s="1"/>
  <c r="J8" i="3" s="1"/>
  <c r="J8" i="4" s="1"/>
  <c r="J7" i="2"/>
  <c r="J20" i="2" s="1"/>
  <c r="K8" i="3" s="1"/>
  <c r="K8" i="4" s="1"/>
  <c r="K7" i="2"/>
  <c r="K20" i="2" s="1"/>
  <c r="L8" i="3" s="1"/>
  <c r="L8" i="4" s="1"/>
  <c r="L7" i="2"/>
  <c r="M7" i="2"/>
  <c r="M20" i="2" s="1"/>
  <c r="N8" i="3" s="1"/>
  <c r="N8" i="4" s="1"/>
  <c r="B8" i="2"/>
  <c r="B23" i="2" s="1"/>
  <c r="C8" i="2"/>
  <c r="C23" i="2" s="1"/>
  <c r="P5" i="3" s="1"/>
  <c r="P5" i="4" s="1"/>
  <c r="D8" i="2"/>
  <c r="D23" i="2" s="1"/>
  <c r="E8" i="2"/>
  <c r="E23" i="2" s="1"/>
  <c r="F8" i="2"/>
  <c r="F23" i="2" s="1"/>
  <c r="S5" i="3" s="1"/>
  <c r="S5" i="4" s="1"/>
  <c r="G8" i="2"/>
  <c r="G23" i="2" s="1"/>
  <c r="T5" i="3" s="1"/>
  <c r="T5" i="4" s="1"/>
  <c r="H8" i="2"/>
  <c r="H23" i="2" s="1"/>
  <c r="U5" i="3" s="1"/>
  <c r="U5" i="4" s="1"/>
  <c r="I8" i="2"/>
  <c r="I23" i="2" s="1"/>
  <c r="V5" i="3" s="1"/>
  <c r="V5" i="4" s="1"/>
  <c r="J8" i="2"/>
  <c r="J23" i="2" s="1"/>
  <c r="W5" i="3" s="1"/>
  <c r="W5" i="4" s="1"/>
  <c r="K8" i="2"/>
  <c r="K23" i="2" s="1"/>
  <c r="X5" i="3" s="1"/>
  <c r="X5" i="4" s="1"/>
  <c r="L8" i="2"/>
  <c r="L23" i="2" s="1"/>
  <c r="Y5" i="3" s="1"/>
  <c r="Y5" i="4" s="1"/>
  <c r="M8" i="2"/>
  <c r="M23" i="2" s="1"/>
  <c r="Z5" i="3" s="1"/>
  <c r="Z5" i="4" s="1"/>
  <c r="B9" i="2"/>
  <c r="B24" i="2" s="1"/>
  <c r="O6" i="3" s="1"/>
  <c r="O6" i="4" s="1"/>
  <c r="C9" i="2"/>
  <c r="C24" i="2" s="1"/>
  <c r="D9" i="2"/>
  <c r="D24" i="2" s="1"/>
  <c r="E9" i="2"/>
  <c r="E24" i="2" s="1"/>
  <c r="F9" i="2"/>
  <c r="F24" i="2" s="1"/>
  <c r="S6" i="3" s="1"/>
  <c r="S6" i="4" s="1"/>
  <c r="G9" i="2"/>
  <c r="G24" i="2" s="1"/>
  <c r="T6" i="3" s="1"/>
  <c r="T6" i="4" s="1"/>
  <c r="H9" i="2"/>
  <c r="H24" i="2" s="1"/>
  <c r="U6" i="3" s="1"/>
  <c r="U6" i="4" s="1"/>
  <c r="I9" i="2"/>
  <c r="I24" i="2" s="1"/>
  <c r="V6" i="3" s="1"/>
  <c r="V6" i="4" s="1"/>
  <c r="J9" i="2"/>
  <c r="J24" i="2" s="1"/>
  <c r="W6" i="3" s="1"/>
  <c r="W6" i="4" s="1"/>
  <c r="K9" i="2"/>
  <c r="K24" i="2" s="1"/>
  <c r="X6" i="3" s="1"/>
  <c r="X6" i="4" s="1"/>
  <c r="L9" i="2"/>
  <c r="L24" i="2" s="1"/>
  <c r="Y6" i="3" s="1"/>
  <c r="Y6" i="4" s="1"/>
  <c r="M9" i="2"/>
  <c r="M24" i="2" s="1"/>
  <c r="Z6" i="3" s="1"/>
  <c r="Z6" i="4" s="1"/>
  <c r="B10" i="2"/>
  <c r="B25" i="2" s="1"/>
  <c r="O7" i="3" s="1"/>
  <c r="O7" i="4" s="1"/>
  <c r="C10" i="2"/>
  <c r="C25" i="2" s="1"/>
  <c r="P7" i="3" s="1"/>
  <c r="P7" i="4" s="1"/>
  <c r="D10" i="2"/>
  <c r="D25" i="2" s="1"/>
  <c r="Q7" i="3" s="1"/>
  <c r="Q7" i="4" s="1"/>
  <c r="E10" i="2"/>
  <c r="E25" i="2" s="1"/>
  <c r="R7" i="3" s="1"/>
  <c r="R7" i="4" s="1"/>
  <c r="F10" i="2"/>
  <c r="F25" i="2" s="1"/>
  <c r="S7" i="3" s="1"/>
  <c r="S7" i="4" s="1"/>
  <c r="G10" i="2"/>
  <c r="G25" i="2" s="1"/>
  <c r="T7" i="3" s="1"/>
  <c r="T7" i="4" s="1"/>
  <c r="H10" i="2"/>
  <c r="H25" i="2" s="1"/>
  <c r="U7" i="3" s="1"/>
  <c r="U7" i="4" s="1"/>
  <c r="I10" i="2"/>
  <c r="I25" i="2" s="1"/>
  <c r="V7" i="3" s="1"/>
  <c r="V7" i="4" s="1"/>
  <c r="J10" i="2"/>
  <c r="J25" i="2" s="1"/>
  <c r="W7" i="3" s="1"/>
  <c r="W7" i="4" s="1"/>
  <c r="K10" i="2"/>
  <c r="K25" i="2" s="1"/>
  <c r="X7" i="3" s="1"/>
  <c r="X7" i="4" s="1"/>
  <c r="L10" i="2"/>
  <c r="L25" i="2" s="1"/>
  <c r="Y7" i="3" s="1"/>
  <c r="Y7" i="4" s="1"/>
  <c r="M10" i="2"/>
  <c r="M25" i="2" s="1"/>
  <c r="Z7" i="3" s="1"/>
  <c r="Z7" i="4" s="1"/>
  <c r="B11" i="2"/>
  <c r="B26" i="2" s="1"/>
  <c r="O8" i="3" s="1"/>
  <c r="O8" i="4" s="1"/>
  <c r="C11" i="2"/>
  <c r="C26" i="2" s="1"/>
  <c r="P8" i="3" s="1"/>
  <c r="P8" i="4" s="1"/>
  <c r="D11" i="2"/>
  <c r="D26" i="2" s="1"/>
  <c r="Q8" i="3" s="1"/>
  <c r="Q8" i="4" s="1"/>
  <c r="E11" i="2"/>
  <c r="E26" i="2" s="1"/>
  <c r="R8" i="3" s="1"/>
  <c r="R8" i="4" s="1"/>
  <c r="F11" i="2"/>
  <c r="F26" i="2" s="1"/>
  <c r="S8" i="3" s="1"/>
  <c r="S8" i="4" s="1"/>
  <c r="G11" i="2"/>
  <c r="G26" i="2" s="1"/>
  <c r="T8" i="3" s="1"/>
  <c r="T8" i="4" s="1"/>
  <c r="H11" i="2"/>
  <c r="H26" i="2" s="1"/>
  <c r="U8" i="3" s="1"/>
  <c r="U8" i="4" s="1"/>
  <c r="I11" i="2"/>
  <c r="I26" i="2" s="1"/>
  <c r="V8" i="3" s="1"/>
  <c r="V8" i="4" s="1"/>
  <c r="J11" i="2"/>
  <c r="J26" i="2" s="1"/>
  <c r="W8" i="3" s="1"/>
  <c r="W8" i="4" s="1"/>
  <c r="K11" i="2"/>
  <c r="K26" i="2" s="1"/>
  <c r="X8" i="3" s="1"/>
  <c r="X8" i="4" s="1"/>
  <c r="L11" i="2"/>
  <c r="L26" i="2" s="1"/>
  <c r="M11" i="2"/>
  <c r="M26" i="2" s="1"/>
  <c r="Z8" i="3" s="1"/>
  <c r="Z8" i="4" s="1"/>
  <c r="C4" i="2"/>
  <c r="C17" i="2" s="1"/>
  <c r="D4" i="2"/>
  <c r="D17" i="2" s="1"/>
  <c r="E4" i="2"/>
  <c r="E17" i="2" s="1"/>
  <c r="F4" i="2"/>
  <c r="F17" i="2" s="1"/>
  <c r="G4" i="2"/>
  <c r="G17" i="2" s="1"/>
  <c r="H4" i="2"/>
  <c r="H17" i="2" s="1"/>
  <c r="I4" i="2"/>
  <c r="I17" i="2" s="1"/>
  <c r="J5" i="3" s="1"/>
  <c r="J5" i="4" s="1"/>
  <c r="J4" i="2"/>
  <c r="J17" i="2" s="1"/>
  <c r="K5" i="3" s="1"/>
  <c r="K5" i="4" s="1"/>
  <c r="K4" i="2"/>
  <c r="K17" i="2" s="1"/>
  <c r="L4" i="2"/>
  <c r="L17" i="2" s="1"/>
  <c r="M5" i="3" s="1"/>
  <c r="M5" i="4" s="1"/>
  <c r="M4" i="2"/>
  <c r="M17" i="2" s="1"/>
  <c r="B4" i="2"/>
  <c r="B17" i="2" s="1"/>
  <c r="C5" i="3" s="1"/>
  <c r="C5" i="4" s="1"/>
  <c r="H5" i="6"/>
  <c r="H6" i="6"/>
  <c r="H7" i="6"/>
  <c r="H8" i="6"/>
  <c r="H9" i="6"/>
  <c r="H10" i="6"/>
  <c r="H11" i="6"/>
  <c r="H12" i="6"/>
  <c r="H13" i="6"/>
  <c r="H14" i="6"/>
  <c r="H15" i="6"/>
  <c r="H16" i="6"/>
  <c r="C4" i="4"/>
  <c r="C14" i="5" s="1"/>
  <c r="C2" i="4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F19" i="2"/>
  <c r="G7" i="3" s="1"/>
  <c r="G7" i="4" s="1"/>
  <c r="B18" i="1"/>
  <c r="M8" i="4" l="1"/>
  <c r="I7" i="6"/>
  <c r="I6" i="6"/>
  <c r="I5" i="6"/>
  <c r="Y8" i="3"/>
  <c r="Y8" i="4" s="1"/>
  <c r="Y18" i="5" s="1"/>
  <c r="X16" i="5"/>
  <c r="Z18" i="5"/>
  <c r="W15" i="5"/>
  <c r="V15" i="5"/>
  <c r="U18" i="5"/>
  <c r="T18" i="5"/>
  <c r="P18" i="5"/>
  <c r="O18" i="5"/>
  <c r="K18" i="5"/>
  <c r="I11" i="6"/>
  <c r="I14" i="6"/>
  <c r="I13" i="6"/>
  <c r="I15" i="6"/>
  <c r="I12" i="6"/>
  <c r="I10" i="6"/>
  <c r="I9" i="6"/>
  <c r="I8" i="6"/>
  <c r="I16" i="6"/>
  <c r="T17" i="5"/>
  <c r="K17" i="5"/>
  <c r="O17" i="5"/>
  <c r="Z17" i="5"/>
  <c r="Y17" i="5"/>
  <c r="M17" i="5"/>
  <c r="X17" i="5"/>
  <c r="L17" i="5"/>
  <c r="W17" i="5"/>
  <c r="V17" i="5"/>
  <c r="V18" i="5"/>
  <c r="U17" i="5"/>
  <c r="I18" i="5"/>
  <c r="H18" i="5"/>
  <c r="S17" i="5"/>
  <c r="G17" i="5"/>
  <c r="G18" i="5"/>
  <c r="R17" i="5"/>
  <c r="F17" i="5"/>
  <c r="E17" i="5"/>
  <c r="Q18" i="5"/>
  <c r="E18" i="5"/>
  <c r="Y16" i="5"/>
  <c r="Z16" i="5"/>
  <c r="Q6" i="3"/>
  <c r="Q6" i="4" s="1"/>
  <c r="V16" i="5"/>
  <c r="S15" i="5"/>
  <c r="O5" i="3"/>
  <c r="O5" i="4" s="1"/>
  <c r="M15" i="5"/>
  <c r="P6" i="3"/>
  <c r="P6" i="4" s="1"/>
  <c r="P15" i="5"/>
  <c r="R6" i="3"/>
  <c r="R6" i="4" s="1"/>
  <c r="R5" i="3"/>
  <c r="R5" i="4" s="1"/>
  <c r="Q5" i="3"/>
  <c r="Q5" i="4" s="1"/>
  <c r="D6" i="3"/>
  <c r="D6" i="4" s="1"/>
  <c r="N5" i="3"/>
  <c r="N5" i="4" s="1"/>
  <c r="N6" i="3"/>
  <c r="N6" i="4" s="1"/>
  <c r="L5" i="3"/>
  <c r="L5" i="4" s="1"/>
  <c r="J15" i="5"/>
  <c r="J6" i="3"/>
  <c r="J6" i="4" s="1"/>
  <c r="I5" i="3"/>
  <c r="I5" i="4" s="1"/>
  <c r="I6" i="3"/>
  <c r="I6" i="4" s="1"/>
  <c r="H5" i="3"/>
  <c r="H5" i="4" s="1"/>
  <c r="H6" i="3"/>
  <c r="H6" i="4" s="1"/>
  <c r="G5" i="3"/>
  <c r="G5" i="4" s="1"/>
  <c r="M16" i="5"/>
  <c r="G6" i="3"/>
  <c r="G6" i="4" s="1"/>
  <c r="F5" i="3"/>
  <c r="F5" i="4" s="1"/>
  <c r="F6" i="3"/>
  <c r="F6" i="4" s="1"/>
  <c r="E5" i="3"/>
  <c r="E5" i="4" s="1"/>
  <c r="E6" i="3"/>
  <c r="E6" i="4" s="1"/>
  <c r="D5" i="3"/>
  <c r="D5" i="4" s="1"/>
  <c r="C6" i="3"/>
  <c r="C6" i="4" s="1"/>
  <c r="D4" i="4"/>
  <c r="D14" i="5" s="1"/>
  <c r="D29" i="5" s="1"/>
  <c r="C22" i="2"/>
  <c r="C29" i="5"/>
  <c r="C21" i="5"/>
  <c r="O16" i="5"/>
  <c r="Z15" i="5" l="1"/>
  <c r="Y15" i="5"/>
  <c r="P17" i="5"/>
  <c r="X18" i="5"/>
  <c r="S16" i="5"/>
  <c r="U16" i="5"/>
  <c r="T15" i="5"/>
  <c r="W16" i="5"/>
  <c r="C17" i="5"/>
  <c r="C24" i="5" s="1"/>
  <c r="C32" i="5" s="1"/>
  <c r="H17" i="5"/>
  <c r="N18" i="5"/>
  <c r="C18" i="5"/>
  <c r="C25" i="5" s="1"/>
  <c r="C33" i="5" s="1"/>
  <c r="U15" i="5"/>
  <c r="D17" i="5"/>
  <c r="W18" i="5"/>
  <c r="Q17" i="5"/>
  <c r="J18" i="5"/>
  <c r="R18" i="5"/>
  <c r="N17" i="5"/>
  <c r="S18" i="5"/>
  <c r="T16" i="5"/>
  <c r="Q16" i="5"/>
  <c r="F18" i="5"/>
  <c r="D18" i="5"/>
  <c r="I17" i="5"/>
  <c r="N15" i="5"/>
  <c r="L18" i="5"/>
  <c r="G15" i="5"/>
  <c r="J17" i="5"/>
  <c r="X15" i="5"/>
  <c r="K16" i="5"/>
  <c r="O15" i="5"/>
  <c r="Q15" i="5"/>
  <c r="D21" i="5"/>
  <c r="F16" i="5"/>
  <c r="N16" i="5"/>
  <c r="R16" i="5"/>
  <c r="R15" i="5"/>
  <c r="E15" i="5"/>
  <c r="P16" i="5"/>
  <c r="E16" i="5"/>
  <c r="E4" i="4"/>
  <c r="E14" i="5" s="1"/>
  <c r="F15" i="5"/>
  <c r="D16" i="5"/>
  <c r="D15" i="5"/>
  <c r="I15" i="5"/>
  <c r="G16" i="5"/>
  <c r="H15" i="5"/>
  <c r="I16" i="5"/>
  <c r="J16" i="5"/>
  <c r="K15" i="5"/>
  <c r="L16" i="5"/>
  <c r="C16" i="5"/>
  <c r="C23" i="5" s="1"/>
  <c r="C15" i="5"/>
  <c r="D22" i="2"/>
  <c r="D25" i="5" l="1"/>
  <c r="D33" i="5" s="1"/>
  <c r="D24" i="5"/>
  <c r="D32" i="5" s="1"/>
  <c r="D23" i="5"/>
  <c r="D31" i="5" s="1"/>
  <c r="F22" i="5"/>
  <c r="F30" i="5" s="1"/>
  <c r="F24" i="5"/>
  <c r="F32" i="5" s="1"/>
  <c r="I24" i="5"/>
  <c r="I32" i="5" s="1"/>
  <c r="L24" i="5"/>
  <c r="L32" i="5" s="1"/>
  <c r="T24" i="5"/>
  <c r="T32" i="5" s="1"/>
  <c r="I22" i="5"/>
  <c r="I30" i="5" s="1"/>
  <c r="K22" i="5"/>
  <c r="K30" i="5" s="1"/>
  <c r="Q24" i="5"/>
  <c r="Q32" i="5" s="1"/>
  <c r="O25" i="5"/>
  <c r="O33" i="5" s="1"/>
  <c r="I25" i="5"/>
  <c r="I33" i="5" s="1"/>
  <c r="S24" i="5"/>
  <c r="S32" i="5" s="1"/>
  <c r="V24" i="5"/>
  <c r="V32" i="5" s="1"/>
  <c r="J24" i="5"/>
  <c r="J32" i="5" s="1"/>
  <c r="S25" i="5"/>
  <c r="S33" i="5" s="1"/>
  <c r="Y24" i="5"/>
  <c r="Y32" i="5" s="1"/>
  <c r="X25" i="5"/>
  <c r="X33" i="5" s="1"/>
  <c r="V25" i="5"/>
  <c r="V33" i="5" s="1"/>
  <c r="G24" i="5"/>
  <c r="G32" i="5" s="1"/>
  <c r="Y25" i="5"/>
  <c r="Y33" i="5" s="1"/>
  <c r="G22" i="5"/>
  <c r="G30" i="5" s="1"/>
  <c r="W25" i="5"/>
  <c r="W33" i="5" s="1"/>
  <c r="P24" i="5"/>
  <c r="P32" i="5" s="1"/>
  <c r="Z25" i="5"/>
  <c r="Z33" i="5" s="1"/>
  <c r="K25" i="5"/>
  <c r="K33" i="5" s="1"/>
  <c r="L25" i="5"/>
  <c r="L33" i="5" s="1"/>
  <c r="J22" i="5"/>
  <c r="J30" i="5" s="1"/>
  <c r="M24" i="5"/>
  <c r="M32" i="5" s="1"/>
  <c r="N25" i="5"/>
  <c r="N33" i="5" s="1"/>
  <c r="R24" i="5"/>
  <c r="R32" i="5" s="1"/>
  <c r="O24" i="5"/>
  <c r="O32" i="5" s="1"/>
  <c r="P25" i="5"/>
  <c r="P33" i="5" s="1"/>
  <c r="H22" i="5"/>
  <c r="H30" i="5" s="1"/>
  <c r="F23" i="5"/>
  <c r="F31" i="5" s="1"/>
  <c r="G23" i="5"/>
  <c r="G31" i="5" s="1"/>
  <c r="H24" i="5"/>
  <c r="H32" i="5" s="1"/>
  <c r="H25" i="5"/>
  <c r="H33" i="5" s="1"/>
  <c r="X24" i="5"/>
  <c r="X32" i="5" s="1"/>
  <c r="N24" i="5"/>
  <c r="N32" i="5" s="1"/>
  <c r="W24" i="5"/>
  <c r="W32" i="5" s="1"/>
  <c r="U24" i="5"/>
  <c r="U32" i="5" s="1"/>
  <c r="G25" i="5"/>
  <c r="G33" i="5" s="1"/>
  <c r="F25" i="5"/>
  <c r="F33" i="5" s="1"/>
  <c r="R25" i="5"/>
  <c r="R33" i="5" s="1"/>
  <c r="T25" i="5"/>
  <c r="T33" i="5" s="1"/>
  <c r="U25" i="5"/>
  <c r="U33" i="5" s="1"/>
  <c r="Q25" i="5"/>
  <c r="Q33" i="5" s="1"/>
  <c r="J25" i="5"/>
  <c r="J33" i="5" s="1"/>
  <c r="K24" i="5"/>
  <c r="K32" i="5" s="1"/>
  <c r="Z24" i="5"/>
  <c r="Z32" i="5" s="1"/>
  <c r="E25" i="5"/>
  <c r="E33" i="5" s="1"/>
  <c r="E24" i="5"/>
  <c r="E32" i="5" s="1"/>
  <c r="E23" i="5"/>
  <c r="E31" i="5" s="1"/>
  <c r="H16" i="5"/>
  <c r="M23" i="5" s="1"/>
  <c r="M31" i="5" s="1"/>
  <c r="L15" i="5"/>
  <c r="Q22" i="5" s="1"/>
  <c r="C31" i="5"/>
  <c r="C22" i="5"/>
  <c r="C30" i="5" s="1"/>
  <c r="F4" i="4"/>
  <c r="F14" i="5" s="1"/>
  <c r="E22" i="5"/>
  <c r="E30" i="5" s="1"/>
  <c r="D22" i="5"/>
  <c r="D30" i="5" s="1"/>
  <c r="E21" i="5"/>
  <c r="E29" i="5"/>
  <c r="E22" i="2"/>
  <c r="C37" i="5" l="1"/>
  <c r="F37" i="5"/>
  <c r="F36" i="5"/>
  <c r="G37" i="5"/>
  <c r="G36" i="5"/>
  <c r="D36" i="5"/>
  <c r="D37" i="5"/>
  <c r="E37" i="5"/>
  <c r="E36" i="5"/>
  <c r="C36" i="5"/>
  <c r="T22" i="5"/>
  <c r="T30" i="5" s="1"/>
  <c r="R22" i="5"/>
  <c r="R30" i="5" s="1"/>
  <c r="V22" i="5"/>
  <c r="V30" i="5" s="1"/>
  <c r="U22" i="5"/>
  <c r="U30" i="5" s="1"/>
  <c r="N22" i="5"/>
  <c r="N30" i="5" s="1"/>
  <c r="X22" i="5"/>
  <c r="X30" i="5" s="1"/>
  <c r="Z22" i="5"/>
  <c r="Z30" i="5" s="1"/>
  <c r="O22" i="5"/>
  <c r="O30" i="5" s="1"/>
  <c r="M22" i="5"/>
  <c r="M30" i="5" s="1"/>
  <c r="W22" i="5"/>
  <c r="W30" i="5" s="1"/>
  <c r="J23" i="5"/>
  <c r="J31" i="5" s="1"/>
  <c r="J37" i="5" s="1"/>
  <c r="S22" i="5"/>
  <c r="S30" i="5" s="1"/>
  <c r="Q23" i="5"/>
  <c r="Q31" i="5" s="1"/>
  <c r="H23" i="5"/>
  <c r="H31" i="5" s="1"/>
  <c r="H37" i="5" s="1"/>
  <c r="U23" i="5"/>
  <c r="U31" i="5" s="1"/>
  <c r="X23" i="5"/>
  <c r="X31" i="5" s="1"/>
  <c r="Y23" i="5"/>
  <c r="Y31" i="5" s="1"/>
  <c r="R23" i="5"/>
  <c r="R31" i="5" s="1"/>
  <c r="L23" i="5"/>
  <c r="L31" i="5" s="1"/>
  <c r="P23" i="5"/>
  <c r="P31" i="5" s="1"/>
  <c r="O23" i="5"/>
  <c r="O31" i="5" s="1"/>
  <c r="V23" i="5"/>
  <c r="V31" i="5" s="1"/>
  <c r="S23" i="5"/>
  <c r="S31" i="5" s="1"/>
  <c r="K23" i="5"/>
  <c r="K31" i="5" s="1"/>
  <c r="K37" i="5" s="1"/>
  <c r="Z23" i="5"/>
  <c r="Z31" i="5" s="1"/>
  <c r="N23" i="5"/>
  <c r="N31" i="5" s="1"/>
  <c r="L22" i="5"/>
  <c r="L30" i="5" s="1"/>
  <c r="W23" i="5"/>
  <c r="W31" i="5" s="1"/>
  <c r="I23" i="5"/>
  <c r="I31" i="5" s="1"/>
  <c r="I36" i="5" s="1"/>
  <c r="Y22" i="5"/>
  <c r="Y30" i="5" s="1"/>
  <c r="T23" i="5"/>
  <c r="T31" i="5" s="1"/>
  <c r="P22" i="5"/>
  <c r="P30" i="5" s="1"/>
  <c r="Q30" i="5"/>
  <c r="G4" i="4"/>
  <c r="H4" i="4" s="1"/>
  <c r="F29" i="5"/>
  <c r="F21" i="5"/>
  <c r="F22" i="2"/>
  <c r="G22" i="2" s="1"/>
  <c r="J36" i="5" l="1"/>
  <c r="X37" i="5"/>
  <c r="X36" i="5"/>
  <c r="V37" i="5"/>
  <c r="V36" i="5"/>
  <c r="I37" i="5"/>
  <c r="Z36" i="5"/>
  <c r="Z37" i="5"/>
  <c r="L37" i="5"/>
  <c r="L36" i="5"/>
  <c r="S37" i="5"/>
  <c r="S36" i="5"/>
  <c r="K36" i="5"/>
  <c r="K38" i="5" s="1"/>
  <c r="N37" i="5"/>
  <c r="N36" i="5"/>
  <c r="U37" i="5"/>
  <c r="U36" i="5"/>
  <c r="T37" i="5"/>
  <c r="T36" i="5"/>
  <c r="W37" i="5"/>
  <c r="W36" i="5"/>
  <c r="M37" i="5"/>
  <c r="M36" i="5"/>
  <c r="H36" i="5"/>
  <c r="Y37" i="5"/>
  <c r="Y36" i="5"/>
  <c r="R37" i="5"/>
  <c r="R36" i="5"/>
  <c r="Q37" i="5"/>
  <c r="Q36" i="5"/>
  <c r="P36" i="5"/>
  <c r="P37" i="5"/>
  <c r="O37" i="5"/>
  <c r="O36" i="5"/>
  <c r="I38" i="5"/>
  <c r="J38" i="5"/>
  <c r="C38" i="5"/>
  <c r="E38" i="5"/>
  <c r="G38" i="5"/>
  <c r="D38" i="5"/>
  <c r="G14" i="5"/>
  <c r="G21" i="5" s="1"/>
  <c r="F38" i="5"/>
  <c r="H14" i="5"/>
  <c r="I4" i="4"/>
  <c r="Z38" i="5" l="1"/>
  <c r="Q38" i="5"/>
  <c r="M38" i="5"/>
  <c r="O38" i="5"/>
  <c r="Y38" i="5"/>
  <c r="W38" i="5"/>
  <c r="H38" i="5"/>
  <c r="V38" i="5"/>
  <c r="S38" i="5"/>
  <c r="X38" i="5"/>
  <c r="U38" i="5"/>
  <c r="L38" i="5"/>
  <c r="N38" i="5"/>
  <c r="T38" i="5"/>
  <c r="R38" i="5"/>
  <c r="P38" i="5"/>
  <c r="G29" i="5"/>
  <c r="J4" i="4"/>
  <c r="I14" i="5"/>
  <c r="H21" i="5"/>
  <c r="H29" i="5"/>
  <c r="H22" i="2"/>
  <c r="I22" i="2" s="1"/>
  <c r="J22" i="2" s="1"/>
  <c r="K22" i="2" s="1"/>
  <c r="L22" i="2" s="1"/>
  <c r="M22" i="2" s="1"/>
  <c r="I21" i="5" l="1"/>
  <c r="I29" i="5"/>
  <c r="J14" i="5"/>
  <c r="K4" i="4"/>
  <c r="L4" i="4" l="1"/>
  <c r="K14" i="5"/>
  <c r="J29" i="5"/>
  <c r="J21" i="5"/>
  <c r="K21" i="5" l="1"/>
  <c r="K29" i="5"/>
  <c r="M4" i="4"/>
  <c r="L14" i="5"/>
  <c r="L21" i="5" l="1"/>
  <c r="L29" i="5"/>
  <c r="M14" i="5"/>
  <c r="N4" i="4"/>
  <c r="O4" i="4" l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N14" i="5"/>
  <c r="M29" i="5"/>
  <c r="M21" i="5"/>
  <c r="O14" i="5" l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Y29" i="5" s="1"/>
  <c r="N29" i="5"/>
  <c r="N21" i="5"/>
  <c r="Z14" i="5" l="1"/>
  <c r="Y21" i="5"/>
  <c r="O29" i="5"/>
  <c r="O21" i="5"/>
  <c r="Z21" i="5" l="1"/>
  <c r="Z29" i="5"/>
  <c r="P21" i="5"/>
  <c r="P29" i="5"/>
  <c r="Q21" i="5" l="1"/>
  <c r="Q29" i="5"/>
  <c r="R21" i="5" l="1"/>
  <c r="R29" i="5"/>
  <c r="S21" i="5" l="1"/>
  <c r="S29" i="5"/>
  <c r="T29" i="5" l="1"/>
  <c r="T21" i="5"/>
  <c r="U21" i="5" l="1"/>
  <c r="U29" i="5"/>
  <c r="V29" i="5" l="1"/>
  <c r="V21" i="5"/>
  <c r="W21" i="5" l="1"/>
  <c r="W29" i="5"/>
  <c r="X21" i="5" l="1"/>
  <c r="X29" i="5"/>
</calcChain>
</file>

<file path=xl/sharedStrings.xml><?xml version="1.0" encoding="utf-8"?>
<sst xmlns="http://schemas.openxmlformats.org/spreadsheetml/2006/main" count="141" uniqueCount="80">
  <si>
    <t>Correction O.D</t>
  </si>
  <si>
    <t>A</t>
  </si>
  <si>
    <t>Time (min)</t>
  </si>
  <si>
    <t>B</t>
  </si>
  <si>
    <t>C</t>
  </si>
  <si>
    <t>D</t>
  </si>
  <si>
    <t>E</t>
  </si>
  <si>
    <t>F</t>
  </si>
  <si>
    <t>G</t>
  </si>
  <si>
    <t>H</t>
  </si>
  <si>
    <t>Ch1 (A)</t>
  </si>
  <si>
    <t>Ch2 (B)</t>
  </si>
  <si>
    <t>Ch3 (C)</t>
  </si>
  <si>
    <t>HTDPA P15 – Sampling-Corrected Cumulative Methylene Blue Release</t>
  </si>
  <si>
    <t>Ch4 (D)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</si>
  <si>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</si>
  <si>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</si>
  <si>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</si>
  <si>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</si>
  <si>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</si>
  <si>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</si>
  <si>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</si>
  <si>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</si>
  <si>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</si>
  <si>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</si>
  <si>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</si>
  <si>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</si>
  <si>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</si>
  <si>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</si>
  <si>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</si>
  <si>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</si>
  <si>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</si>
  <si>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</si>
  <si>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</si>
  <si>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</si>
  <si>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</si>
  <si>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</si>
  <si>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Flow RMSP (Q+) / (Q-) ml/min</t>
  </si>
  <si>
    <t>Temperature (oC) +/-1</t>
  </si>
  <si>
    <t>Sampling-corrected cumulative release (µg)</t>
  </si>
  <si>
    <t>Sampling-corrected cumulative release (% of 250 µg donor dose)</t>
  </si>
  <si>
    <t>Average (%)</t>
  </si>
  <si>
    <t>P15 All CH</t>
  </si>
  <si>
    <t>S.D. (%)</t>
  </si>
  <si>
    <t>C.V. (%)</t>
  </si>
  <si>
    <t>Note</t>
  </si>
  <si>
    <t>The existing Conversions sheet applies sampling correction only at selected cells. This sheet uses the cumulative correction at every time point and leaves the original sheet unchanged.</t>
  </si>
  <si>
    <t>a</t>
  </si>
  <si>
    <t>b</t>
  </si>
  <si>
    <t>Vol.Media (ml)</t>
  </si>
  <si>
    <t>30 RPM</t>
  </si>
  <si>
    <t>Convert to CAF  content (ug)</t>
  </si>
  <si>
    <t>Tube</t>
  </si>
  <si>
    <t>Target</t>
  </si>
  <si>
    <t>I</t>
  </si>
  <si>
    <t>J</t>
  </si>
  <si>
    <t>K</t>
  </si>
  <si>
    <t>BLANK</t>
  </si>
  <si>
    <t>Blank</t>
  </si>
  <si>
    <t>µg/mL</t>
  </si>
  <si>
    <t>Av.</t>
  </si>
  <si>
    <t xml:space="preserve">Corrected </t>
  </si>
  <si>
    <t>50 ug/mL</t>
  </si>
  <si>
    <t>40 ug/mL</t>
  </si>
  <si>
    <t>30 ug/mL</t>
  </si>
  <si>
    <t>25 ug/mL</t>
  </si>
  <si>
    <t>20 ug/mL</t>
  </si>
  <si>
    <t>15 ug/mL</t>
  </si>
  <si>
    <t>10 ug/mL</t>
  </si>
  <si>
    <t>5 ug/mL</t>
  </si>
  <si>
    <t>3 ug/mL</t>
  </si>
  <si>
    <t>1 ug/mL</t>
  </si>
  <si>
    <t>0.5 ug/mL</t>
  </si>
  <si>
    <t>P23-DCF-1</t>
  </si>
  <si>
    <t>P23-DCF-2</t>
  </si>
  <si>
    <t>P23-DCF-3</t>
  </si>
  <si>
    <t>P23-DCF-4</t>
  </si>
  <si>
    <t>ug DCF</t>
  </si>
  <si>
    <t>y = 0.0172x + 0.002</t>
  </si>
  <si>
    <t>P23-DCF(Poloxamer 407), 1 µm PET membrane, 30 RPM, 28 °C, n=4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</si>
</sst>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0"/>
      <color rgb="FF27413E"/>
      <name val="Arial"/>
      <family val="2"/>
    </font>
    <font>
      <sz val="10"/>
      <color theme="1"/>
      <name val="Liberation Sans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Liberation Serif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4"/>
      <color rgb="FFFFFFFF"/>
      <name val="Aptos Narrow"/>
    </font>
    <font>
      <sz val="11"/>
      <name val="Aptos Narrow"/>
    </font>
    <font>
      <i/>
      <sz val="11"/>
      <color rgb="FF404040"/>
      <name val="Arial"/>
      <family val="2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7030A0"/>
      <name val="Aptos Narrow"/>
    </font>
    <font>
      <sz val="11"/>
      <color rgb="FF0000FF"/>
      <name val="Aptos Narrow"/>
    </font>
    <font>
      <sz val="11"/>
      <color rgb="FF000000"/>
      <name val="Aptos Narrow"/>
    </font>
    <font>
      <sz val="8"/>
      <name val="Aptos Narrow"/>
      <scheme val="minor"/>
    </font>
    <font>
      <b/>
      <sz val="11"/>
      <color theme="1"/>
      <name val="Aptos Narrow"/>
      <scheme val="minor"/>
    </font>
    <font>
      <sz val="7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5"/>
  </cellStyleXfs>
  <cellXfs count="39">
    <xf numFmtId="0" fontId="0" fillId="0" borderId="0" xfId="0"/>
    <xf numFmtId="18" fontId="1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18" fontId="1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3" fillId="0" borderId="0" xfId="0" applyFont="1"/>
    <xf numFmtId="0" fontId="9" fillId="0" borderId="0" xfId="0" applyFont="1"/>
    <xf numFmtId="0" fontId="13" fillId="3" borderId="5" xfId="0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9" fillId="4" borderId="5" xfId="0" applyFont="1" applyFill="1" applyBorder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right" wrapText="1"/>
    </xf>
    <xf numFmtId="164" fontId="17" fillId="0" borderId="0" xfId="0" applyNumberFormat="1" applyFont="1"/>
    <xf numFmtId="2" fontId="2" fillId="0" borderId="0" xfId="0" applyNumberFormat="1" applyFont="1"/>
    <xf numFmtId="0" fontId="19" fillId="0" borderId="0" xfId="0" applyFont="1"/>
    <xf numFmtId="0" fontId="7" fillId="6" borderId="0" xfId="0" applyFont="1" applyFill="1" applyAlignment="1">
      <alignment wrapText="1"/>
    </xf>
    <xf numFmtId="0" fontId="20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left"/>
    </xf>
    <xf numFmtId="0" fontId="11" fillId="0" borderId="3" xfId="0" applyFont="1" applyBorder="1"/>
    <xf numFmtId="0" fontId="11" fillId="0" borderId="4" xfId="0" applyFont="1" applyBorder="1"/>
    <xf numFmtId="0" fontId="12" fillId="0" borderId="0" xfId="0" applyFont="1"/>
    <xf numFmtId="0" fontId="2" fillId="0" borderId="0" xfId="0" applyFont="1" applyAlignment="1">
      <alignment wrapText="1"/>
    </xf>
    <xf numFmtId="0" fontId="2" fillId="5" borderId="2" xfId="0" applyFont="1" applyFill="1" applyBorder="1" applyAlignment="1">
      <alignment wrapText="1"/>
    </xf>
    <xf numFmtId="0" fontId="6" fillId="0" borderId="6" xfId="0" applyFont="1" applyBorder="1"/>
    <xf numFmtId="0" fontId="0" fillId="0" borderId="6" xfId="0" applyBorder="1"/>
    <xf numFmtId="0" fontId="19" fillId="0" borderId="6" xfId="0" applyFont="1" applyBorder="1"/>
  </cellXfs>
  <cellStyles count="2">
    <cellStyle name="Normal" xfId="0" builtinId="0"/>
    <cellStyle name="Normal 2" xfId="1" xr:uid="{66C36EF5-428A-CD4D-8988-0E9F913E7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9208834989569464E-2"/>
          <c:y val="6.6852367688022288E-2"/>
          <c:w val="0.69833545837672639"/>
          <c:h val="0.86181972378800842"/>
        </c:manualLayout>
      </c:layout>
      <c:scatterChart>
        <c:scatterStyle val="lineMarker"/>
        <c:varyColors val="1"/>
        <c:ser>
          <c:idx val="0"/>
          <c:order val="0"/>
          <c:tx>
            <c:strRef>
              <c:f>'Cumulative Release'!$B$36</c:f>
              <c:strCache>
                <c:ptCount val="1"/>
                <c:pt idx="0">
                  <c:v>Average (%)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'Cumulative Release'!$D$29:$Z$29</c:f>
              <c:numCache>
                <c:formatCode>General</c:formatCode>
                <c:ptCount val="23"/>
                <c:pt idx="0">
                  <c:v>34</c:v>
                </c:pt>
                <c:pt idx="1">
                  <c:v>51</c:v>
                </c:pt>
                <c:pt idx="2">
                  <c:v>68</c:v>
                </c:pt>
                <c:pt idx="3">
                  <c:v>85</c:v>
                </c:pt>
                <c:pt idx="4">
                  <c:v>102</c:v>
                </c:pt>
                <c:pt idx="5">
                  <c:v>119</c:v>
                </c:pt>
                <c:pt idx="6">
                  <c:v>136</c:v>
                </c:pt>
                <c:pt idx="7">
                  <c:v>153</c:v>
                </c:pt>
                <c:pt idx="8">
                  <c:v>170</c:v>
                </c:pt>
                <c:pt idx="9">
                  <c:v>187</c:v>
                </c:pt>
                <c:pt idx="10">
                  <c:v>204</c:v>
                </c:pt>
                <c:pt idx="11">
                  <c:v>221</c:v>
                </c:pt>
                <c:pt idx="12">
                  <c:v>238</c:v>
                </c:pt>
                <c:pt idx="13">
                  <c:v>255</c:v>
                </c:pt>
                <c:pt idx="14">
                  <c:v>272</c:v>
                </c:pt>
                <c:pt idx="15">
                  <c:v>289</c:v>
                </c:pt>
                <c:pt idx="16">
                  <c:v>306</c:v>
                </c:pt>
                <c:pt idx="17">
                  <c:v>323</c:v>
                </c:pt>
                <c:pt idx="18">
                  <c:v>340</c:v>
                </c:pt>
                <c:pt idx="19">
                  <c:v>357</c:v>
                </c:pt>
                <c:pt idx="20">
                  <c:v>374</c:v>
                </c:pt>
                <c:pt idx="21">
                  <c:v>391</c:v>
                </c:pt>
                <c:pt idx="22">
                  <c:v>408</c:v>
                </c:pt>
              </c:numCache>
            </c:numRef>
          </c:xVal>
          <c:yVal>
            <c:numRef>
              <c:f>'Cumulative Release'!$D$36:$Z$36</c:f>
              <c:numCache>
                <c:formatCode>0.00</c:formatCode>
                <c:ptCount val="23"/>
                <c:pt idx="0">
                  <c:v>6.0197674418604628</c:v>
                </c:pt>
                <c:pt idx="1">
                  <c:v>7.3921511627906966</c:v>
                </c:pt>
                <c:pt idx="2">
                  <c:v>8.2930232558139529</c:v>
                </c:pt>
                <c:pt idx="3">
                  <c:v>10.036046511627903</c:v>
                </c:pt>
                <c:pt idx="4">
                  <c:v>11.118023255813952</c:v>
                </c:pt>
                <c:pt idx="5">
                  <c:v>12.347093023255811</c:v>
                </c:pt>
                <c:pt idx="6">
                  <c:v>13.288081395348836</c:v>
                </c:pt>
                <c:pt idx="7">
                  <c:v>13.694476744186046</c:v>
                </c:pt>
                <c:pt idx="8">
                  <c:v>15.038662790697671</c:v>
                </c:pt>
                <c:pt idx="9">
                  <c:v>16.43255813953488</c:v>
                </c:pt>
                <c:pt idx="10">
                  <c:v>17.331104651162789</c:v>
                </c:pt>
                <c:pt idx="11">
                  <c:v>18.863081395348832</c:v>
                </c:pt>
                <c:pt idx="12">
                  <c:v>19.395058139534878</c:v>
                </c:pt>
                <c:pt idx="13">
                  <c:v>22.384011627906972</c:v>
                </c:pt>
                <c:pt idx="14">
                  <c:v>21.17906976744186</c:v>
                </c:pt>
                <c:pt idx="15">
                  <c:v>22.285465116279067</c:v>
                </c:pt>
                <c:pt idx="16">
                  <c:v>23.231686046511626</c:v>
                </c:pt>
                <c:pt idx="17">
                  <c:v>24.081395348837205</c:v>
                </c:pt>
                <c:pt idx="18">
                  <c:v>25.754069767441859</c:v>
                </c:pt>
                <c:pt idx="19">
                  <c:v>27.863953488372093</c:v>
                </c:pt>
                <c:pt idx="20">
                  <c:v>27.883720930232556</c:v>
                </c:pt>
                <c:pt idx="21">
                  <c:v>28.883430232558137</c:v>
                </c:pt>
                <c:pt idx="22">
                  <c:v>29.781976744186043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04-E541-AEF8-7BAFAF32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146603"/>
        <c:axId val="1225921156"/>
      </c:scatterChart>
      <c:valAx>
        <c:axId val="1762146603"/>
        <c:scaling>
          <c:orientation val="minMax"/>
          <c:min val="-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5921156"/>
        <c:crosses val="autoZero"/>
        <c:crossBetween val="midCat"/>
      </c:valAx>
      <c:valAx>
        <c:axId val="122592115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sz="1000" b="0" i="0">
                    <a:solidFill>
                      <a:srgbClr val="000000"/>
                    </a:solidFill>
                    <a:latin typeface="+mn-lt"/>
                  </a:rPr>
                  <a:t>cumulative release (%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21466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Diclofenac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555949256342958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DCF'!$D$5:$D$16</c:f>
              <c:numCache>
                <c:formatCode>General</c:formatCode>
                <c:ptCount val="12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0.5</c:v>
                </c:pt>
                <c:pt idx="11">
                  <c:v>0</c:v>
                </c:pt>
              </c:numCache>
            </c:numRef>
          </c:xVal>
          <c:yVal>
            <c:numRef>
              <c:f>'STD DCF'!$I$5:$I$16</c:f>
              <c:numCache>
                <c:formatCode>General</c:formatCode>
                <c:ptCount val="12"/>
                <c:pt idx="0">
                  <c:v>0.87333333333333329</c:v>
                </c:pt>
                <c:pt idx="1">
                  <c:v>0.67733333333333334</c:v>
                </c:pt>
                <c:pt idx="2">
                  <c:v>0.5093333333333333</c:v>
                </c:pt>
                <c:pt idx="3">
                  <c:v>0.42366666666666664</c:v>
                </c:pt>
                <c:pt idx="4">
                  <c:v>0.34299999999999997</c:v>
                </c:pt>
                <c:pt idx="5">
                  <c:v>0.26833333333333331</c:v>
                </c:pt>
                <c:pt idx="6">
                  <c:v>0.17966666666666667</c:v>
                </c:pt>
                <c:pt idx="7">
                  <c:v>9.0000000000000024E-2</c:v>
                </c:pt>
                <c:pt idx="8">
                  <c:v>5.1999999999999998E-2</c:v>
                </c:pt>
                <c:pt idx="9">
                  <c:v>1.7333333333333346E-2</c:v>
                </c:pt>
                <c:pt idx="10">
                  <c:v>1.2333333333333342E-2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9-A048-9874-E8EEB6F7F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054655"/>
        <c:axId val="1466051071"/>
      </c:scatterChart>
      <c:valAx>
        <c:axId val="146605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ug/ml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51071"/>
        <c:crosses val="autoZero"/>
        <c:crossBetween val="midCat"/>
      </c:valAx>
      <c:valAx>
        <c:axId val="14660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(275nm)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5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556204</xdr:colOff>
      <xdr:row>41</xdr:row>
      <xdr:rowOff>50631</xdr:rowOff>
    </xdr:from>
    <xdr:ext cx="7705725" cy="3419475"/>
    <xdr:graphicFrame macro="">
      <xdr:nvGraphicFramePr>
        <xdr:cNvPr id="2143350548" name="Chart 4" title="Chart">
          <a:extLst>
            <a:ext uri="{FF2B5EF4-FFF2-40B4-BE49-F238E27FC236}">
              <a16:creationId xmlns:a16="http://schemas.microsoft.com/office/drawing/2014/main" id="{00000000-0008-0000-0400-000014EFC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546100</xdr:colOff>
      <xdr:row>17</xdr:row>
      <xdr:rowOff>139700</xdr:rowOff>
    </xdr:from>
    <xdr:to>
      <xdr:col>8</xdr:col>
      <xdr:colOff>368300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14496-F958-EE28-C1A9-E7FF5251E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00"/>
  <sheetViews>
    <sheetView workbookViewId="0">
      <selection activeCell="I19" sqref="I19"/>
    </sheetView>
  </sheetViews>
  <sheetFormatPr baseColWidth="10" defaultColWidth="12.6640625" defaultRowHeight="15" customHeight="1"/>
  <cols>
    <col min="1" max="26" width="10.6640625" customWidth="1"/>
  </cols>
  <sheetData>
    <row r="2" spans="1:15">
      <c r="M2" s="1"/>
    </row>
    <row r="3" spans="1:15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O3" s="6"/>
    </row>
    <row r="4" spans="1:15">
      <c r="A4" s="3" t="s">
        <v>1</v>
      </c>
      <c r="B4" s="9">
        <v>6.0999999999999999E-2</v>
      </c>
      <c r="C4" s="9">
        <v>6.4000000000000001E-2</v>
      </c>
      <c r="D4" s="9">
        <v>6.7000000000000004E-2</v>
      </c>
      <c r="E4" s="9">
        <v>7.1999999999999995E-2</v>
      </c>
      <c r="F4" s="9">
        <v>7.4999999999999997E-2</v>
      </c>
      <c r="G4" s="9">
        <v>7.5999999999999998E-2</v>
      </c>
      <c r="H4" s="9">
        <v>7.9000000000000001E-2</v>
      </c>
      <c r="I4" s="9">
        <v>0.08</v>
      </c>
      <c r="J4" s="9">
        <v>8.2000000000000003E-2</v>
      </c>
      <c r="K4" s="9">
        <v>8.3000000000000004E-2</v>
      </c>
      <c r="L4" s="9">
        <v>8.5000000000000006E-2</v>
      </c>
      <c r="M4" s="9">
        <v>8.6999999999999994E-2</v>
      </c>
      <c r="N4" s="25">
        <v>275</v>
      </c>
      <c r="O4" s="8"/>
    </row>
    <row r="5" spans="1:15">
      <c r="A5" s="3" t="s">
        <v>3</v>
      </c>
      <c r="B5" s="9">
        <v>7.4999999999999997E-2</v>
      </c>
      <c r="C5" s="9">
        <v>7.4999999999999997E-2</v>
      </c>
      <c r="D5" s="9">
        <v>7.1999999999999995E-2</v>
      </c>
      <c r="E5" s="9">
        <v>7.0000000000000007E-2</v>
      </c>
      <c r="F5" s="9">
        <v>7.5999999999999998E-2</v>
      </c>
      <c r="G5" s="9">
        <v>7.9000000000000001E-2</v>
      </c>
      <c r="H5" s="9">
        <v>0.08</v>
      </c>
      <c r="I5" s="9">
        <v>8.4000000000000005E-2</v>
      </c>
      <c r="J5" s="9">
        <v>8.5000000000000006E-2</v>
      </c>
      <c r="K5" s="9">
        <v>8.5999999999999993E-2</v>
      </c>
      <c r="L5" s="9">
        <v>8.8999999999999996E-2</v>
      </c>
      <c r="M5" s="9">
        <v>9.0999999999999998E-2</v>
      </c>
      <c r="N5" s="25">
        <v>275</v>
      </c>
    </row>
    <row r="6" spans="1:15">
      <c r="A6" s="3" t="s">
        <v>4</v>
      </c>
      <c r="B6" s="9">
        <v>6.0999999999999999E-2</v>
      </c>
      <c r="C6" s="9">
        <v>6.0999999999999999E-2</v>
      </c>
      <c r="D6" s="9">
        <v>6.6000000000000003E-2</v>
      </c>
      <c r="E6" s="9">
        <v>6.9000000000000006E-2</v>
      </c>
      <c r="F6" s="9">
        <v>7.1999999999999995E-2</v>
      </c>
      <c r="G6" s="9">
        <v>7.3999999999999996E-2</v>
      </c>
      <c r="H6" s="9">
        <v>7.5999999999999998E-2</v>
      </c>
      <c r="I6" s="9">
        <v>7.8E-2</v>
      </c>
      <c r="J6" s="9">
        <v>7.5999999999999998E-2</v>
      </c>
      <c r="K6" s="9">
        <v>8.2000000000000003E-2</v>
      </c>
      <c r="L6" s="9">
        <v>8.2000000000000003E-2</v>
      </c>
      <c r="M6" s="9">
        <v>8.3000000000000004E-2</v>
      </c>
      <c r="N6" s="25">
        <v>275</v>
      </c>
    </row>
    <row r="7" spans="1:15">
      <c r="A7" s="3" t="s">
        <v>5</v>
      </c>
      <c r="B7" s="9">
        <v>6.0999999999999999E-2</v>
      </c>
      <c r="C7" s="9">
        <v>6.0999999999999999E-2</v>
      </c>
      <c r="D7" s="9">
        <v>6.4000000000000001E-2</v>
      </c>
      <c r="E7" s="9">
        <v>6.5000000000000002E-2</v>
      </c>
      <c r="F7" s="9">
        <v>6.7000000000000004E-2</v>
      </c>
      <c r="G7" s="9">
        <v>6.9000000000000006E-2</v>
      </c>
      <c r="H7" s="9">
        <v>7.1999999999999995E-2</v>
      </c>
      <c r="I7" s="9">
        <v>7.1999999999999995E-2</v>
      </c>
      <c r="J7" s="9">
        <v>7.2999999999999995E-2</v>
      </c>
      <c r="K7" s="9">
        <v>7.4999999999999997E-2</v>
      </c>
      <c r="L7" s="9">
        <v>0.10199999999999999</v>
      </c>
      <c r="M7" s="9">
        <v>8.1000000000000003E-2</v>
      </c>
      <c r="N7" s="25">
        <v>275</v>
      </c>
    </row>
    <row r="8" spans="1:15">
      <c r="A8" s="3" t="s">
        <v>6</v>
      </c>
      <c r="B8" s="9">
        <v>0.09</v>
      </c>
      <c r="C8" s="9">
        <v>9.4E-2</v>
      </c>
      <c r="D8" s="9">
        <v>0.109</v>
      </c>
      <c r="E8" s="9">
        <v>9.5000000000000001E-2</v>
      </c>
      <c r="F8" s="9">
        <v>9.6000000000000002E-2</v>
      </c>
      <c r="G8" s="9">
        <v>9.9000000000000005E-2</v>
      </c>
      <c r="H8" s="9">
        <v>9.8000000000000004E-2</v>
      </c>
      <c r="I8" s="9">
        <v>0.10199999999999999</v>
      </c>
      <c r="J8" s="9">
        <v>0.112</v>
      </c>
      <c r="K8" s="9">
        <v>0.104</v>
      </c>
      <c r="L8" s="9">
        <v>0.107</v>
      </c>
      <c r="M8" s="9">
        <v>0.108</v>
      </c>
      <c r="N8" s="25">
        <v>275</v>
      </c>
    </row>
    <row r="9" spans="1:15">
      <c r="A9" s="3" t="s">
        <v>7</v>
      </c>
      <c r="B9" s="9">
        <v>9.7000000000000003E-2</v>
      </c>
      <c r="C9" s="9">
        <v>8.8999999999999996E-2</v>
      </c>
      <c r="D9" s="9">
        <v>9.8000000000000004E-2</v>
      </c>
      <c r="E9" s="9">
        <v>9.9000000000000005E-2</v>
      </c>
      <c r="F9" s="9">
        <v>0.1</v>
      </c>
      <c r="G9" s="9">
        <v>0.1</v>
      </c>
      <c r="H9" s="9">
        <v>0.10299999999999999</v>
      </c>
      <c r="I9" s="9">
        <v>0.107</v>
      </c>
      <c r="J9" s="9">
        <v>0.111</v>
      </c>
      <c r="K9" s="9">
        <v>0.109</v>
      </c>
      <c r="L9" s="9">
        <v>0.11</v>
      </c>
      <c r="M9" s="9">
        <v>0.112</v>
      </c>
      <c r="N9" s="25">
        <v>275</v>
      </c>
    </row>
    <row r="10" spans="1:15">
      <c r="A10" s="3" t="s">
        <v>8</v>
      </c>
      <c r="B10" s="9">
        <v>8.6999999999999994E-2</v>
      </c>
      <c r="C10" s="9">
        <v>8.8999999999999996E-2</v>
      </c>
      <c r="D10" s="9">
        <v>9.1999999999999998E-2</v>
      </c>
      <c r="E10" s="9">
        <v>9.1999999999999998E-2</v>
      </c>
      <c r="F10" s="9">
        <v>9.4E-2</v>
      </c>
      <c r="G10" s="9">
        <v>9.6000000000000002E-2</v>
      </c>
      <c r="H10" s="9">
        <v>9.8000000000000004E-2</v>
      </c>
      <c r="I10" s="9">
        <v>0.1</v>
      </c>
      <c r="J10" s="9">
        <v>0.10100000000000001</v>
      </c>
      <c r="K10" s="9">
        <v>0.106</v>
      </c>
      <c r="L10" s="9">
        <v>0.107</v>
      </c>
      <c r="M10" s="9">
        <v>0.108</v>
      </c>
      <c r="N10" s="25">
        <v>275</v>
      </c>
    </row>
    <row r="11" spans="1:15">
      <c r="A11" s="3" t="s">
        <v>9</v>
      </c>
      <c r="B11" s="9">
        <v>0.08</v>
      </c>
      <c r="C11" s="9">
        <v>8.4000000000000005E-2</v>
      </c>
      <c r="D11" s="9">
        <v>8.2000000000000003E-2</v>
      </c>
      <c r="E11" s="9">
        <v>8.2000000000000003E-2</v>
      </c>
      <c r="F11" s="9">
        <v>8.5000000000000006E-2</v>
      </c>
      <c r="G11" s="9">
        <v>8.5999999999999993E-2</v>
      </c>
      <c r="H11" s="9">
        <v>8.6999999999999994E-2</v>
      </c>
      <c r="I11" s="9">
        <v>8.8999999999999996E-2</v>
      </c>
      <c r="J11" s="9">
        <v>0.09</v>
      </c>
      <c r="K11" s="9">
        <v>9.1999999999999998E-2</v>
      </c>
      <c r="L11" s="9">
        <v>9.2999999999999999E-2</v>
      </c>
      <c r="M11" s="9">
        <v>9.4E-2</v>
      </c>
      <c r="N11" s="25">
        <v>275</v>
      </c>
    </row>
    <row r="18" spans="2:15">
      <c r="B18" s="11">
        <f>1.5*60</f>
        <v>90</v>
      </c>
    </row>
    <row r="20" spans="2:1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2:15" ht="15.75" customHeight="1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2:15" ht="15.75" customHeight="1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2:15" ht="15.75" customHeight="1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2:15" ht="15.75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2:15" ht="15.75" customHeight="1"/>
    <row r="26" spans="2:15" ht="15.75" customHeight="1"/>
    <row r="27" spans="2:15" ht="15.75" customHeight="1"/>
    <row r="28" spans="2:15" ht="15.75" customHeight="1"/>
    <row r="29" spans="2:15" ht="15.75" customHeight="1"/>
    <row r="30" spans="2:15" ht="15.75" customHeight="1"/>
    <row r="31" spans="2:15" ht="15.75" customHeight="1"/>
    <row r="32" spans="2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000"/>
  <sheetViews>
    <sheetView zoomScale="172" workbookViewId="0">
      <selection activeCell="D26" sqref="D26"/>
    </sheetView>
  </sheetViews>
  <sheetFormatPr baseColWidth="10" defaultColWidth="12.6640625" defaultRowHeight="15" customHeight="1"/>
  <cols>
    <col min="1" max="1" width="12" customWidth="1"/>
    <col min="2" max="2" width="10.33203125" customWidth="1"/>
    <col min="3" max="26" width="8.83203125" customWidth="1"/>
  </cols>
  <sheetData>
    <row r="3" spans="1:14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4">
      <c r="A4" s="3" t="s">
        <v>1</v>
      </c>
      <c r="B4" s="9">
        <f>'Sheet 1'!B4</f>
        <v>6.0999999999999999E-2</v>
      </c>
      <c r="C4" s="9">
        <f>'Sheet 1'!C4</f>
        <v>6.4000000000000001E-2</v>
      </c>
      <c r="D4" s="9">
        <f>'Sheet 1'!D4</f>
        <v>6.7000000000000004E-2</v>
      </c>
      <c r="E4" s="9">
        <f>'Sheet 1'!E4</f>
        <v>7.1999999999999995E-2</v>
      </c>
      <c r="F4" s="9">
        <f>'Sheet 1'!F4</f>
        <v>7.4999999999999997E-2</v>
      </c>
      <c r="G4" s="9">
        <f>'Sheet 1'!G4</f>
        <v>7.5999999999999998E-2</v>
      </c>
      <c r="H4" s="9">
        <f>'Sheet 1'!H4</f>
        <v>7.9000000000000001E-2</v>
      </c>
      <c r="I4" s="9">
        <f>'Sheet 1'!I4</f>
        <v>0.08</v>
      </c>
      <c r="J4" s="9">
        <f>'Sheet 1'!J4</f>
        <v>8.2000000000000003E-2</v>
      </c>
      <c r="K4" s="9">
        <f>'Sheet 1'!K4</f>
        <v>8.3000000000000004E-2</v>
      </c>
      <c r="L4" s="9">
        <f>'Sheet 1'!L4</f>
        <v>8.5000000000000006E-2</v>
      </c>
      <c r="M4" s="9">
        <f>'Sheet 1'!M4</f>
        <v>8.6999999999999994E-2</v>
      </c>
      <c r="N4" s="25">
        <v>275</v>
      </c>
    </row>
    <row r="5" spans="1:14">
      <c r="A5" s="3" t="s">
        <v>3</v>
      </c>
      <c r="B5" s="9">
        <f>'Sheet 1'!B5</f>
        <v>7.4999999999999997E-2</v>
      </c>
      <c r="C5" s="9">
        <f>'Sheet 1'!C5</f>
        <v>7.4999999999999997E-2</v>
      </c>
      <c r="D5" s="9">
        <f>'Sheet 1'!D5</f>
        <v>7.1999999999999995E-2</v>
      </c>
      <c r="E5" s="9">
        <f>'Sheet 1'!E5</f>
        <v>7.0000000000000007E-2</v>
      </c>
      <c r="F5" s="9">
        <f>'Sheet 1'!F5</f>
        <v>7.5999999999999998E-2</v>
      </c>
      <c r="G5" s="9">
        <f>'Sheet 1'!G5</f>
        <v>7.9000000000000001E-2</v>
      </c>
      <c r="H5" s="9">
        <f>'Sheet 1'!H5</f>
        <v>0.08</v>
      </c>
      <c r="I5" s="9">
        <f>'Sheet 1'!I5</f>
        <v>8.4000000000000005E-2</v>
      </c>
      <c r="J5" s="9">
        <f>'Sheet 1'!J5</f>
        <v>8.5000000000000006E-2</v>
      </c>
      <c r="K5" s="9">
        <f>'Sheet 1'!K5</f>
        <v>8.5999999999999993E-2</v>
      </c>
      <c r="L5" s="9">
        <f>'Sheet 1'!L5</f>
        <v>8.8999999999999996E-2</v>
      </c>
      <c r="M5" s="9">
        <f>'Sheet 1'!M5</f>
        <v>9.0999999999999998E-2</v>
      </c>
      <c r="N5" s="25">
        <v>275</v>
      </c>
    </row>
    <row r="6" spans="1:14">
      <c r="A6" s="3" t="s">
        <v>4</v>
      </c>
      <c r="B6" s="9">
        <f>'Sheet 1'!B6</f>
        <v>6.0999999999999999E-2</v>
      </c>
      <c r="C6" s="9">
        <f>'Sheet 1'!C6</f>
        <v>6.0999999999999999E-2</v>
      </c>
      <c r="D6" s="9">
        <f>'Sheet 1'!D6</f>
        <v>6.6000000000000003E-2</v>
      </c>
      <c r="E6" s="9">
        <f>'Sheet 1'!E6</f>
        <v>6.9000000000000006E-2</v>
      </c>
      <c r="F6" s="9">
        <f>'Sheet 1'!F6</f>
        <v>7.1999999999999995E-2</v>
      </c>
      <c r="G6" s="9">
        <f>'Sheet 1'!G6</f>
        <v>7.3999999999999996E-2</v>
      </c>
      <c r="H6" s="9">
        <f>'Sheet 1'!H6</f>
        <v>7.5999999999999998E-2</v>
      </c>
      <c r="I6" s="9">
        <f>'Sheet 1'!I6</f>
        <v>7.8E-2</v>
      </c>
      <c r="J6" s="9">
        <f>'Sheet 1'!J6</f>
        <v>7.5999999999999998E-2</v>
      </c>
      <c r="K6" s="9">
        <f>'Sheet 1'!K6</f>
        <v>8.2000000000000003E-2</v>
      </c>
      <c r="L6" s="9">
        <f>'Sheet 1'!L6</f>
        <v>8.2000000000000003E-2</v>
      </c>
      <c r="M6" s="9">
        <f>'Sheet 1'!M6</f>
        <v>8.3000000000000004E-2</v>
      </c>
      <c r="N6" s="25">
        <v>275</v>
      </c>
    </row>
    <row r="7" spans="1:14">
      <c r="A7" s="3" t="s">
        <v>5</v>
      </c>
      <c r="B7" s="9">
        <f>'Sheet 1'!B7</f>
        <v>6.0999999999999999E-2</v>
      </c>
      <c r="C7" s="9">
        <f>'Sheet 1'!C7</f>
        <v>6.0999999999999999E-2</v>
      </c>
      <c r="D7" s="9">
        <f>'Sheet 1'!D7</f>
        <v>6.4000000000000001E-2</v>
      </c>
      <c r="E7" s="9">
        <f>'Sheet 1'!E7</f>
        <v>6.5000000000000002E-2</v>
      </c>
      <c r="F7" s="9">
        <f>'Sheet 1'!F7</f>
        <v>6.7000000000000004E-2</v>
      </c>
      <c r="G7" s="9">
        <f>'Sheet 1'!G7</f>
        <v>6.9000000000000006E-2</v>
      </c>
      <c r="H7" s="9">
        <f>'Sheet 1'!H7</f>
        <v>7.1999999999999995E-2</v>
      </c>
      <c r="I7" s="9">
        <f>'Sheet 1'!I7</f>
        <v>7.1999999999999995E-2</v>
      </c>
      <c r="J7" s="9">
        <f>'Sheet 1'!J7</f>
        <v>7.2999999999999995E-2</v>
      </c>
      <c r="K7" s="9">
        <f>'Sheet 1'!K7</f>
        <v>7.4999999999999997E-2</v>
      </c>
      <c r="L7" s="9">
        <f>'Sheet 1'!L7</f>
        <v>0.10199999999999999</v>
      </c>
      <c r="M7" s="9">
        <f>'Sheet 1'!M7</f>
        <v>8.1000000000000003E-2</v>
      </c>
      <c r="N7" s="25">
        <v>275</v>
      </c>
    </row>
    <row r="8" spans="1:14">
      <c r="A8" s="3" t="s">
        <v>6</v>
      </c>
      <c r="B8" s="9">
        <f>'Sheet 1'!B8</f>
        <v>0.09</v>
      </c>
      <c r="C8" s="9">
        <f>'Sheet 1'!C8</f>
        <v>9.4E-2</v>
      </c>
      <c r="D8" s="9">
        <f>'Sheet 1'!D8</f>
        <v>0.109</v>
      </c>
      <c r="E8" s="9">
        <f>'Sheet 1'!E8</f>
        <v>9.5000000000000001E-2</v>
      </c>
      <c r="F8" s="9">
        <f>'Sheet 1'!F8</f>
        <v>9.6000000000000002E-2</v>
      </c>
      <c r="G8" s="9">
        <f>'Sheet 1'!G8</f>
        <v>9.9000000000000005E-2</v>
      </c>
      <c r="H8" s="9">
        <f>'Sheet 1'!H8</f>
        <v>9.8000000000000004E-2</v>
      </c>
      <c r="I8" s="9">
        <f>'Sheet 1'!I8</f>
        <v>0.10199999999999999</v>
      </c>
      <c r="J8" s="9">
        <f>'Sheet 1'!J8</f>
        <v>0.112</v>
      </c>
      <c r="K8" s="9">
        <f>'Sheet 1'!K8</f>
        <v>0.104</v>
      </c>
      <c r="L8" s="9">
        <f>'Sheet 1'!L8</f>
        <v>0.107</v>
      </c>
      <c r="M8" s="9">
        <f>'Sheet 1'!M8</f>
        <v>0.108</v>
      </c>
      <c r="N8" s="25">
        <v>275</v>
      </c>
    </row>
    <row r="9" spans="1:14">
      <c r="A9" s="3" t="s">
        <v>7</v>
      </c>
      <c r="B9" s="9">
        <f>'Sheet 1'!B9</f>
        <v>9.7000000000000003E-2</v>
      </c>
      <c r="C9" s="9">
        <f>'Sheet 1'!C9</f>
        <v>8.8999999999999996E-2</v>
      </c>
      <c r="D9" s="9">
        <f>'Sheet 1'!D9</f>
        <v>9.8000000000000004E-2</v>
      </c>
      <c r="E9" s="9">
        <f>'Sheet 1'!E9</f>
        <v>9.9000000000000005E-2</v>
      </c>
      <c r="F9" s="9">
        <f>'Sheet 1'!F9</f>
        <v>0.1</v>
      </c>
      <c r="G9" s="9">
        <f>'Sheet 1'!G9</f>
        <v>0.1</v>
      </c>
      <c r="H9" s="9">
        <f>'Sheet 1'!H9</f>
        <v>0.10299999999999999</v>
      </c>
      <c r="I9" s="9">
        <f>'Sheet 1'!I9</f>
        <v>0.107</v>
      </c>
      <c r="J9" s="9">
        <f>'Sheet 1'!J9</f>
        <v>0.111</v>
      </c>
      <c r="K9" s="9">
        <f>'Sheet 1'!K9</f>
        <v>0.109</v>
      </c>
      <c r="L9" s="9">
        <f>'Sheet 1'!L9</f>
        <v>0.11</v>
      </c>
      <c r="M9" s="9">
        <f>'Sheet 1'!M9</f>
        <v>0.112</v>
      </c>
      <c r="N9" s="25">
        <v>275</v>
      </c>
    </row>
    <row r="10" spans="1:14">
      <c r="A10" s="3" t="s">
        <v>8</v>
      </c>
      <c r="B10" s="9">
        <f>'Sheet 1'!B10</f>
        <v>8.6999999999999994E-2</v>
      </c>
      <c r="C10" s="9">
        <f>'Sheet 1'!C10</f>
        <v>8.8999999999999996E-2</v>
      </c>
      <c r="D10" s="9">
        <f>'Sheet 1'!D10</f>
        <v>9.1999999999999998E-2</v>
      </c>
      <c r="E10" s="9">
        <f>'Sheet 1'!E10</f>
        <v>9.1999999999999998E-2</v>
      </c>
      <c r="F10" s="9">
        <f>'Sheet 1'!F10</f>
        <v>9.4E-2</v>
      </c>
      <c r="G10" s="9">
        <f>'Sheet 1'!G10</f>
        <v>9.6000000000000002E-2</v>
      </c>
      <c r="H10" s="9">
        <f>'Sheet 1'!H10</f>
        <v>9.8000000000000004E-2</v>
      </c>
      <c r="I10" s="9">
        <f>'Sheet 1'!I10</f>
        <v>0.1</v>
      </c>
      <c r="J10" s="9">
        <f>'Sheet 1'!J10</f>
        <v>0.10100000000000001</v>
      </c>
      <c r="K10" s="9">
        <f>'Sheet 1'!K10</f>
        <v>0.106</v>
      </c>
      <c r="L10" s="9">
        <f>'Sheet 1'!L10</f>
        <v>0.107</v>
      </c>
      <c r="M10" s="9">
        <f>'Sheet 1'!M10</f>
        <v>0.108</v>
      </c>
      <c r="N10" s="25">
        <v>275</v>
      </c>
    </row>
    <row r="11" spans="1:14">
      <c r="A11" s="3" t="s">
        <v>9</v>
      </c>
      <c r="B11" s="9">
        <f>'Sheet 1'!B11</f>
        <v>0.08</v>
      </c>
      <c r="C11" s="9">
        <f>'Sheet 1'!C11</f>
        <v>8.4000000000000005E-2</v>
      </c>
      <c r="D11" s="9">
        <f>'Sheet 1'!D11</f>
        <v>8.2000000000000003E-2</v>
      </c>
      <c r="E11" s="9">
        <f>'Sheet 1'!E11</f>
        <v>8.2000000000000003E-2</v>
      </c>
      <c r="F11" s="9">
        <f>'Sheet 1'!F11</f>
        <v>8.5000000000000006E-2</v>
      </c>
      <c r="G11" s="9">
        <f>'Sheet 1'!G11</f>
        <v>8.5999999999999993E-2</v>
      </c>
      <c r="H11" s="9">
        <f>'Sheet 1'!H11</f>
        <v>8.6999999999999994E-2</v>
      </c>
      <c r="I11" s="9">
        <f>'Sheet 1'!I11</f>
        <v>8.8999999999999996E-2</v>
      </c>
      <c r="J11" s="9">
        <f>'Sheet 1'!J11</f>
        <v>0.09</v>
      </c>
      <c r="K11" s="9">
        <f>'Sheet 1'!K11</f>
        <v>9.1999999999999998E-2</v>
      </c>
      <c r="L11" s="9">
        <f>'Sheet 1'!L11</f>
        <v>9.2999999999999999E-2</v>
      </c>
      <c r="M11" s="9">
        <f>'Sheet 1'!M11</f>
        <v>9.4E-2</v>
      </c>
      <c r="N11" s="25">
        <v>275</v>
      </c>
    </row>
    <row r="16" spans="1:14" ht="15.75" customHeight="1">
      <c r="A16" s="2" t="s">
        <v>2</v>
      </c>
      <c r="B16" s="10">
        <v>17</v>
      </c>
      <c r="C16" s="10">
        <f t="shared" ref="C16:M16" si="0">B16+17</f>
        <v>34</v>
      </c>
      <c r="D16" s="10">
        <f t="shared" si="0"/>
        <v>51</v>
      </c>
      <c r="E16" s="10">
        <f t="shared" si="0"/>
        <v>68</v>
      </c>
      <c r="F16" s="10">
        <f t="shared" si="0"/>
        <v>85</v>
      </c>
      <c r="G16" s="10">
        <f t="shared" si="0"/>
        <v>102</v>
      </c>
      <c r="H16" s="10">
        <f t="shared" si="0"/>
        <v>119</v>
      </c>
      <c r="I16" s="10">
        <f t="shared" si="0"/>
        <v>136</v>
      </c>
      <c r="J16" s="10">
        <f t="shared" si="0"/>
        <v>153</v>
      </c>
      <c r="K16" s="10">
        <f t="shared" si="0"/>
        <v>170</v>
      </c>
      <c r="L16" s="10">
        <f t="shared" si="0"/>
        <v>187</v>
      </c>
      <c r="M16" s="10">
        <f t="shared" si="0"/>
        <v>204</v>
      </c>
    </row>
    <row r="17" spans="1:16">
      <c r="A17" s="3" t="s">
        <v>10</v>
      </c>
      <c r="B17" s="10">
        <f t="shared" ref="B17:M17" si="1">B4</f>
        <v>6.0999999999999999E-2</v>
      </c>
      <c r="C17" s="10">
        <f t="shared" si="1"/>
        <v>6.4000000000000001E-2</v>
      </c>
      <c r="D17" s="10">
        <f t="shared" si="1"/>
        <v>6.7000000000000004E-2</v>
      </c>
      <c r="E17" s="10">
        <f t="shared" si="1"/>
        <v>7.1999999999999995E-2</v>
      </c>
      <c r="F17" s="10">
        <f t="shared" si="1"/>
        <v>7.4999999999999997E-2</v>
      </c>
      <c r="G17" s="10">
        <f t="shared" si="1"/>
        <v>7.5999999999999998E-2</v>
      </c>
      <c r="H17" s="10">
        <f t="shared" si="1"/>
        <v>7.9000000000000001E-2</v>
      </c>
      <c r="I17" s="10">
        <f t="shared" si="1"/>
        <v>0.08</v>
      </c>
      <c r="J17" s="10">
        <f t="shared" si="1"/>
        <v>8.2000000000000003E-2</v>
      </c>
      <c r="K17" s="10">
        <f t="shared" si="1"/>
        <v>8.3000000000000004E-2</v>
      </c>
      <c r="L17" s="10">
        <f t="shared" si="1"/>
        <v>8.5000000000000006E-2</v>
      </c>
      <c r="M17" s="10">
        <f t="shared" si="1"/>
        <v>8.6999999999999994E-2</v>
      </c>
    </row>
    <row r="18" spans="1:16">
      <c r="A18" s="3" t="s">
        <v>11</v>
      </c>
      <c r="B18" s="10">
        <f t="shared" ref="B18:M18" si="2">B5</f>
        <v>7.4999999999999997E-2</v>
      </c>
      <c r="C18" s="10">
        <f t="shared" si="2"/>
        <v>7.4999999999999997E-2</v>
      </c>
      <c r="D18" s="10">
        <f t="shared" si="2"/>
        <v>7.1999999999999995E-2</v>
      </c>
      <c r="E18" s="10">
        <f t="shared" si="2"/>
        <v>7.0000000000000007E-2</v>
      </c>
      <c r="F18" s="10">
        <f t="shared" si="2"/>
        <v>7.5999999999999998E-2</v>
      </c>
      <c r="G18" s="10">
        <f t="shared" si="2"/>
        <v>7.9000000000000001E-2</v>
      </c>
      <c r="H18" s="10">
        <f t="shared" si="2"/>
        <v>0.08</v>
      </c>
      <c r="I18" s="10">
        <f t="shared" si="2"/>
        <v>8.4000000000000005E-2</v>
      </c>
      <c r="J18" s="10">
        <f t="shared" si="2"/>
        <v>8.5000000000000006E-2</v>
      </c>
      <c r="K18" s="10">
        <f t="shared" si="2"/>
        <v>8.5999999999999993E-2</v>
      </c>
      <c r="L18" s="10">
        <f t="shared" si="2"/>
        <v>8.8999999999999996E-2</v>
      </c>
      <c r="M18" s="10">
        <f t="shared" si="2"/>
        <v>9.0999999999999998E-2</v>
      </c>
    </row>
    <row r="19" spans="1:16">
      <c r="A19" s="3" t="s">
        <v>12</v>
      </c>
      <c r="B19" s="10">
        <f t="shared" ref="B19:M19" si="3">B6</f>
        <v>6.0999999999999999E-2</v>
      </c>
      <c r="C19" s="10">
        <f t="shared" si="3"/>
        <v>6.0999999999999999E-2</v>
      </c>
      <c r="D19" s="10">
        <f t="shared" si="3"/>
        <v>6.6000000000000003E-2</v>
      </c>
      <c r="E19" s="10">
        <f t="shared" si="3"/>
        <v>6.9000000000000006E-2</v>
      </c>
      <c r="F19" s="10">
        <f t="shared" si="3"/>
        <v>7.1999999999999995E-2</v>
      </c>
      <c r="G19" s="10">
        <f t="shared" si="3"/>
        <v>7.3999999999999996E-2</v>
      </c>
      <c r="H19" s="10">
        <f t="shared" si="3"/>
        <v>7.5999999999999998E-2</v>
      </c>
      <c r="I19" s="10">
        <f t="shared" si="3"/>
        <v>7.8E-2</v>
      </c>
      <c r="J19" s="10">
        <f t="shared" si="3"/>
        <v>7.5999999999999998E-2</v>
      </c>
      <c r="K19" s="10">
        <f t="shared" si="3"/>
        <v>8.2000000000000003E-2</v>
      </c>
      <c r="L19" s="10">
        <f t="shared" si="3"/>
        <v>8.2000000000000003E-2</v>
      </c>
      <c r="M19" s="10">
        <f t="shared" si="3"/>
        <v>8.3000000000000004E-2</v>
      </c>
    </row>
    <row r="20" spans="1:16">
      <c r="A20" s="3" t="s">
        <v>14</v>
      </c>
      <c r="B20" s="10">
        <f t="shared" ref="B20:M20" si="4">B7</f>
        <v>6.0999999999999999E-2</v>
      </c>
      <c r="C20" s="10">
        <f t="shared" si="4"/>
        <v>6.0999999999999999E-2</v>
      </c>
      <c r="D20" s="10">
        <f t="shared" si="4"/>
        <v>6.4000000000000001E-2</v>
      </c>
      <c r="E20" s="10">
        <f t="shared" si="4"/>
        <v>6.5000000000000002E-2</v>
      </c>
      <c r="F20" s="10">
        <f t="shared" si="4"/>
        <v>6.7000000000000004E-2</v>
      </c>
      <c r="G20" s="10">
        <f t="shared" si="4"/>
        <v>6.9000000000000006E-2</v>
      </c>
      <c r="H20" s="10">
        <f t="shared" si="4"/>
        <v>7.1999999999999995E-2</v>
      </c>
      <c r="I20" s="24">
        <f>I7</f>
        <v>7.1999999999999995E-2</v>
      </c>
      <c r="J20" s="10">
        <f t="shared" si="4"/>
        <v>7.2999999999999995E-2</v>
      </c>
      <c r="K20" s="10">
        <f t="shared" si="4"/>
        <v>7.4999999999999997E-2</v>
      </c>
      <c r="L20" s="24"/>
      <c r="M20" s="10">
        <f t="shared" si="4"/>
        <v>8.1000000000000003E-2</v>
      </c>
      <c r="P20">
        <v>0.10199999999999999</v>
      </c>
    </row>
    <row r="21" spans="1:16" ht="15.75" customHeight="1"/>
    <row r="22" spans="1:16" ht="15.75" customHeight="1">
      <c r="A22" s="2" t="s">
        <v>2</v>
      </c>
      <c r="B22" s="10">
        <f>M16+17</f>
        <v>221</v>
      </c>
      <c r="C22" s="10">
        <f t="shared" ref="C22:M22" si="5">B22+17</f>
        <v>238</v>
      </c>
      <c r="D22" s="10">
        <f t="shared" si="5"/>
        <v>255</v>
      </c>
      <c r="E22" s="10">
        <f t="shared" si="5"/>
        <v>272</v>
      </c>
      <c r="F22" s="10">
        <f t="shared" si="5"/>
        <v>289</v>
      </c>
      <c r="G22" s="10">
        <f>F22+17</f>
        <v>306</v>
      </c>
      <c r="H22" s="10">
        <f t="shared" si="5"/>
        <v>323</v>
      </c>
      <c r="I22" s="10">
        <f t="shared" si="5"/>
        <v>340</v>
      </c>
      <c r="J22" s="10">
        <f t="shared" si="5"/>
        <v>357</v>
      </c>
      <c r="K22" s="10">
        <f t="shared" si="5"/>
        <v>374</v>
      </c>
      <c r="L22" s="10">
        <f t="shared" si="5"/>
        <v>391</v>
      </c>
      <c r="M22" s="10">
        <f t="shared" si="5"/>
        <v>408</v>
      </c>
    </row>
    <row r="23" spans="1:16" ht="15.75" customHeight="1">
      <c r="A23" s="3" t="s">
        <v>26</v>
      </c>
      <c r="B23" s="10">
        <f t="shared" ref="B23:J23" si="6">B8</f>
        <v>0.09</v>
      </c>
      <c r="C23" s="10">
        <f t="shared" si="6"/>
        <v>9.4E-2</v>
      </c>
      <c r="D23" s="10">
        <f>D8</f>
        <v>0.109</v>
      </c>
      <c r="E23" s="10">
        <f t="shared" si="6"/>
        <v>9.5000000000000001E-2</v>
      </c>
      <c r="F23" s="10">
        <f t="shared" si="6"/>
        <v>9.6000000000000002E-2</v>
      </c>
      <c r="G23" s="10">
        <f t="shared" si="6"/>
        <v>9.9000000000000005E-2</v>
      </c>
      <c r="H23" s="10">
        <f t="shared" si="6"/>
        <v>9.8000000000000004E-2</v>
      </c>
      <c r="I23" s="10">
        <f t="shared" si="6"/>
        <v>0.10199999999999999</v>
      </c>
      <c r="J23" s="10">
        <f t="shared" si="6"/>
        <v>0.112</v>
      </c>
      <c r="K23" s="10">
        <f t="shared" ref="K23:M23" si="7">K8</f>
        <v>0.104</v>
      </c>
      <c r="L23" s="10">
        <f t="shared" si="7"/>
        <v>0.107</v>
      </c>
      <c r="M23" s="10">
        <f t="shared" si="7"/>
        <v>0.108</v>
      </c>
    </row>
    <row r="24" spans="1:16" ht="15.75" customHeight="1">
      <c r="A24" s="3" t="s">
        <v>27</v>
      </c>
      <c r="B24" s="10">
        <f t="shared" ref="B24:C24" si="8">B9</f>
        <v>9.7000000000000003E-2</v>
      </c>
      <c r="C24" s="10">
        <f t="shared" si="8"/>
        <v>8.8999999999999996E-2</v>
      </c>
      <c r="D24" s="10">
        <f>D9</f>
        <v>9.8000000000000004E-2</v>
      </c>
      <c r="E24" s="10">
        <f t="shared" ref="E24:J24" si="9">E9</f>
        <v>9.9000000000000005E-2</v>
      </c>
      <c r="F24" s="10">
        <f t="shared" si="9"/>
        <v>0.1</v>
      </c>
      <c r="G24" s="10">
        <f t="shared" si="9"/>
        <v>0.1</v>
      </c>
      <c r="H24" s="10">
        <f t="shared" si="9"/>
        <v>0.10299999999999999</v>
      </c>
      <c r="I24" s="10">
        <f t="shared" si="9"/>
        <v>0.107</v>
      </c>
      <c r="J24" s="10">
        <f t="shared" si="9"/>
        <v>0.111</v>
      </c>
      <c r="K24" s="10">
        <f t="shared" ref="K24:M24" si="10">K9</f>
        <v>0.109</v>
      </c>
      <c r="L24" s="10">
        <f t="shared" si="10"/>
        <v>0.11</v>
      </c>
      <c r="M24" s="10">
        <f t="shared" si="10"/>
        <v>0.112</v>
      </c>
    </row>
    <row r="25" spans="1:16" ht="15.75" customHeight="1">
      <c r="A25" s="3" t="s">
        <v>28</v>
      </c>
      <c r="B25" s="10">
        <f t="shared" ref="B25:J25" si="11">B10</f>
        <v>8.6999999999999994E-2</v>
      </c>
      <c r="C25" s="10">
        <f t="shared" si="11"/>
        <v>8.8999999999999996E-2</v>
      </c>
      <c r="D25" s="10">
        <f t="shared" si="11"/>
        <v>9.1999999999999998E-2</v>
      </c>
      <c r="E25" s="10">
        <f t="shared" si="11"/>
        <v>9.1999999999999998E-2</v>
      </c>
      <c r="F25" s="10">
        <f t="shared" si="11"/>
        <v>9.4E-2</v>
      </c>
      <c r="G25" s="10">
        <f t="shared" si="11"/>
        <v>9.6000000000000002E-2</v>
      </c>
      <c r="H25" s="10">
        <f t="shared" si="11"/>
        <v>9.8000000000000004E-2</v>
      </c>
      <c r="I25" s="10">
        <f t="shared" si="11"/>
        <v>0.1</v>
      </c>
      <c r="J25" s="10">
        <f t="shared" si="11"/>
        <v>0.10100000000000001</v>
      </c>
      <c r="K25" s="10">
        <f t="shared" ref="K25:M25" si="12">K10</f>
        <v>0.106</v>
      </c>
      <c r="L25" s="10">
        <f t="shared" si="12"/>
        <v>0.107</v>
      </c>
      <c r="M25" s="10">
        <f t="shared" si="12"/>
        <v>0.108</v>
      </c>
    </row>
    <row r="26" spans="1:16" ht="15.75" customHeight="1">
      <c r="A26" s="3" t="s">
        <v>29</v>
      </c>
      <c r="B26" s="10">
        <f t="shared" ref="B26:J26" si="13">B11</f>
        <v>0.08</v>
      </c>
      <c r="C26" s="10">
        <f t="shared" si="13"/>
        <v>8.4000000000000005E-2</v>
      </c>
      <c r="D26" s="10">
        <f t="shared" si="13"/>
        <v>8.2000000000000003E-2</v>
      </c>
      <c r="E26" s="10">
        <f t="shared" si="13"/>
        <v>8.2000000000000003E-2</v>
      </c>
      <c r="F26" s="10">
        <f t="shared" si="13"/>
        <v>8.5000000000000006E-2</v>
      </c>
      <c r="G26" s="10">
        <f t="shared" si="13"/>
        <v>8.5999999999999993E-2</v>
      </c>
      <c r="H26" s="10">
        <f t="shared" si="13"/>
        <v>8.6999999999999994E-2</v>
      </c>
      <c r="I26" s="10">
        <f t="shared" si="13"/>
        <v>8.8999999999999996E-2</v>
      </c>
      <c r="J26" s="10">
        <f t="shared" si="13"/>
        <v>0.09</v>
      </c>
      <c r="K26" s="10">
        <f t="shared" ref="K26:M26" si="14">K11</f>
        <v>9.1999999999999998E-2</v>
      </c>
      <c r="L26" s="10">
        <f t="shared" si="14"/>
        <v>9.2999999999999999E-2</v>
      </c>
      <c r="M26" s="10">
        <f t="shared" si="14"/>
        <v>9.4E-2</v>
      </c>
    </row>
    <row r="27" spans="1:16" ht="15.75" customHeight="1"/>
    <row r="28" spans="1:16" ht="15.75" customHeight="1"/>
    <row r="29" spans="1:16" ht="15.75" customHeight="1">
      <c r="A29" s="26" t="s">
        <v>30</v>
      </c>
      <c r="B29" s="27"/>
    </row>
    <row r="30" spans="1:16" ht="15.75" customHeight="1">
      <c r="A30" s="3" t="s">
        <v>31</v>
      </c>
      <c r="B30" s="10" t="s">
        <v>73</v>
      </c>
    </row>
    <row r="31" spans="1:16" ht="15.75" customHeight="1">
      <c r="A31" s="3" t="s">
        <v>32</v>
      </c>
      <c r="B31" s="10" t="s">
        <v>74</v>
      </c>
    </row>
    <row r="32" spans="1:16" ht="15.75" customHeight="1">
      <c r="A32" s="3" t="s">
        <v>33</v>
      </c>
      <c r="B32" s="10" t="s">
        <v>75</v>
      </c>
      <c r="N32" s="11">
        <f>5*60</f>
        <v>300</v>
      </c>
    </row>
    <row r="33" spans="1:4" ht="15.75" customHeight="1">
      <c r="A33" s="3" t="s">
        <v>34</v>
      </c>
      <c r="B33" s="10" t="s">
        <v>76</v>
      </c>
    </row>
    <row r="34" spans="1:4" ht="15.75" customHeight="1"/>
    <row r="35" spans="1:4" ht="15.75" customHeight="1"/>
    <row r="36" spans="1:4" ht="15.75" customHeight="1">
      <c r="A36" s="26" t="s">
        <v>35</v>
      </c>
      <c r="B36" s="27"/>
    </row>
    <row r="37" spans="1:4" ht="15.75" customHeight="1">
      <c r="A37" s="3" t="s">
        <v>31</v>
      </c>
      <c r="B37" s="9">
        <v>19.3</v>
      </c>
    </row>
    <row r="38" spans="1:4" ht="15.75" customHeight="1">
      <c r="A38" s="3" t="s">
        <v>32</v>
      </c>
      <c r="B38" s="9">
        <v>19.7</v>
      </c>
    </row>
    <row r="39" spans="1:4" ht="15.75" customHeight="1">
      <c r="A39" s="3" t="s">
        <v>33</v>
      </c>
      <c r="B39" s="9">
        <v>19.5</v>
      </c>
    </row>
    <row r="40" spans="1:4" ht="15.75" customHeight="1">
      <c r="A40" s="3" t="s">
        <v>34</v>
      </c>
      <c r="B40" s="9">
        <v>24.1</v>
      </c>
    </row>
    <row r="41" spans="1:4" ht="15.75" customHeight="1"/>
    <row r="42" spans="1:4" ht="15.75" customHeight="1"/>
    <row r="43" spans="1:4" ht="15.75" customHeight="1">
      <c r="A43" s="26" t="s">
        <v>36</v>
      </c>
      <c r="B43" s="27"/>
    </row>
    <row r="44" spans="1:4" ht="15.75" customHeight="1">
      <c r="A44" s="3" t="s">
        <v>31</v>
      </c>
      <c r="B44" s="10">
        <v>0.5</v>
      </c>
      <c r="C44" s="11">
        <v>250</v>
      </c>
      <c r="D44" s="11" t="s">
        <v>77</v>
      </c>
    </row>
    <row r="45" spans="1:4" ht="15.75" customHeight="1">
      <c r="A45" s="3" t="s">
        <v>32</v>
      </c>
      <c r="B45" s="10">
        <v>0.5</v>
      </c>
      <c r="C45" s="11">
        <v>250</v>
      </c>
      <c r="D45" s="11" t="s">
        <v>77</v>
      </c>
    </row>
    <row r="46" spans="1:4" ht="15.75" customHeight="1">
      <c r="A46" s="3" t="s">
        <v>33</v>
      </c>
      <c r="B46" s="10">
        <v>0.5</v>
      </c>
      <c r="C46" s="11">
        <v>250</v>
      </c>
      <c r="D46" s="11" t="s">
        <v>77</v>
      </c>
    </row>
    <row r="47" spans="1:4" ht="15.75" customHeight="1">
      <c r="A47" s="3" t="s">
        <v>34</v>
      </c>
      <c r="B47" s="10">
        <v>0.5</v>
      </c>
      <c r="C47" s="11">
        <v>250</v>
      </c>
      <c r="D47" s="11" t="s">
        <v>77</v>
      </c>
    </row>
    <row r="48" spans="1:4" ht="15.75" customHeight="1"/>
    <row r="49" spans="1:3" ht="15.75" customHeight="1"/>
    <row r="50" spans="1:3" ht="15.75" customHeight="1">
      <c r="A50" s="26" t="s">
        <v>37</v>
      </c>
      <c r="B50" s="27"/>
      <c r="C50" s="11" t="s">
        <v>50</v>
      </c>
    </row>
    <row r="51" spans="1:3" ht="15.75" customHeight="1">
      <c r="A51" s="3" t="s">
        <v>31</v>
      </c>
      <c r="B51" s="20"/>
    </row>
    <row r="52" spans="1:3" ht="15.75" customHeight="1">
      <c r="A52" s="3" t="s">
        <v>32</v>
      </c>
      <c r="B52" s="20"/>
    </row>
    <row r="53" spans="1:3" ht="15.75" customHeight="1">
      <c r="A53" s="3" t="s">
        <v>33</v>
      </c>
      <c r="B53" s="20"/>
    </row>
    <row r="54" spans="1:3" ht="15.75" customHeight="1">
      <c r="A54" s="3" t="s">
        <v>34</v>
      </c>
      <c r="B54" s="20"/>
    </row>
    <row r="55" spans="1:3" ht="15.75" customHeight="1"/>
    <row r="56" spans="1:3" ht="15.75" customHeight="1"/>
    <row r="57" spans="1:3" ht="15.75" customHeight="1">
      <c r="A57" s="26" t="s">
        <v>38</v>
      </c>
      <c r="B57" s="27"/>
    </row>
    <row r="58" spans="1:3" ht="15.75" customHeight="1">
      <c r="A58" s="3" t="s">
        <v>31</v>
      </c>
      <c r="B58" s="20">
        <v>28</v>
      </c>
    </row>
    <row r="59" spans="1:3" ht="15.75" customHeight="1">
      <c r="A59" s="3" t="s">
        <v>32</v>
      </c>
      <c r="B59" s="20">
        <v>28</v>
      </c>
    </row>
    <row r="60" spans="1:3" ht="15.75" customHeight="1">
      <c r="A60" s="3" t="s">
        <v>33</v>
      </c>
      <c r="B60" s="20">
        <v>28</v>
      </c>
    </row>
    <row r="61" spans="1:3" ht="15.75" customHeight="1">
      <c r="A61" s="3" t="s">
        <v>34</v>
      </c>
      <c r="B61" s="20">
        <v>28</v>
      </c>
    </row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9:B29"/>
    <mergeCell ref="A36:B36"/>
    <mergeCell ref="A43:B43"/>
    <mergeCell ref="A50:B50"/>
    <mergeCell ref="A57:B57"/>
  </mergeCells>
  <phoneticPr fontId="18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998"/>
  <sheetViews>
    <sheetView zoomScale="113" workbookViewId="0">
      <selection activeCell="M9" sqref="M9"/>
    </sheetView>
  </sheetViews>
  <sheetFormatPr baseColWidth="10" defaultColWidth="12.6640625" defaultRowHeight="15" customHeight="1"/>
  <cols>
    <col min="1" max="26" width="10.6640625" customWidth="1"/>
  </cols>
  <sheetData>
    <row r="3" spans="1:26">
      <c r="A3" s="28" t="s">
        <v>0</v>
      </c>
      <c r="B3" s="2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7" t="s">
        <v>2</v>
      </c>
      <c r="C4" s="4">
        <f>17</f>
        <v>17</v>
      </c>
      <c r="D4" s="4">
        <f t="shared" ref="D4:N4" si="0">C4+17</f>
        <v>34</v>
      </c>
      <c r="E4" s="4">
        <f t="shared" si="0"/>
        <v>51</v>
      </c>
      <c r="F4" s="4">
        <f t="shared" si="0"/>
        <v>68</v>
      </c>
      <c r="G4" s="4">
        <f t="shared" si="0"/>
        <v>85</v>
      </c>
      <c r="H4" s="4">
        <f t="shared" si="0"/>
        <v>102</v>
      </c>
      <c r="I4" s="4">
        <f t="shared" si="0"/>
        <v>119</v>
      </c>
      <c r="J4" s="4">
        <f t="shared" si="0"/>
        <v>136</v>
      </c>
      <c r="K4" s="4">
        <f t="shared" si="0"/>
        <v>153</v>
      </c>
      <c r="L4" s="4">
        <f t="shared" si="0"/>
        <v>170</v>
      </c>
      <c r="M4" s="4">
        <f t="shared" si="0"/>
        <v>187</v>
      </c>
      <c r="N4" s="4">
        <f t="shared" si="0"/>
        <v>204</v>
      </c>
      <c r="O4" s="4">
        <f>N4+17</f>
        <v>221</v>
      </c>
      <c r="P4" s="4">
        <f t="shared" ref="P4:Z4" si="1">O4+17</f>
        <v>238</v>
      </c>
      <c r="Q4" s="4">
        <f t="shared" si="1"/>
        <v>255</v>
      </c>
      <c r="R4" s="4">
        <f t="shared" si="1"/>
        <v>272</v>
      </c>
      <c r="S4" s="4">
        <f t="shared" si="1"/>
        <v>289</v>
      </c>
      <c r="T4" s="4">
        <f t="shared" si="1"/>
        <v>306</v>
      </c>
      <c r="U4" s="4">
        <f t="shared" si="1"/>
        <v>323</v>
      </c>
      <c r="V4" s="4">
        <f t="shared" si="1"/>
        <v>340</v>
      </c>
      <c r="W4" s="4">
        <f t="shared" si="1"/>
        <v>357</v>
      </c>
      <c r="X4" s="4">
        <f>W4+17</f>
        <v>374</v>
      </c>
      <c r="Y4" s="4">
        <f t="shared" si="1"/>
        <v>391</v>
      </c>
      <c r="Z4" s="4">
        <f t="shared" si="1"/>
        <v>408</v>
      </c>
    </row>
    <row r="5" spans="1:26">
      <c r="A5" s="5"/>
      <c r="B5" s="10" t="s">
        <v>73</v>
      </c>
      <c r="C5" s="4">
        <f>Info!B17-0.05</f>
        <v>1.0999999999999996E-2</v>
      </c>
      <c r="D5" s="4">
        <f>Info!C17-0.05</f>
        <v>1.3999999999999999E-2</v>
      </c>
      <c r="E5" s="4">
        <f>Info!D17-0.05</f>
        <v>1.7000000000000001E-2</v>
      </c>
      <c r="F5" s="4">
        <f>Info!E17-0.05</f>
        <v>2.1999999999999992E-2</v>
      </c>
      <c r="G5" s="4">
        <f>Info!F17-0.05</f>
        <v>2.4999999999999994E-2</v>
      </c>
      <c r="H5" s="4">
        <f>Info!G17-0.05</f>
        <v>2.5999999999999995E-2</v>
      </c>
      <c r="I5" s="4">
        <f>Info!H17-0.05</f>
        <v>2.8999999999999998E-2</v>
      </c>
      <c r="J5" s="4">
        <f>Info!I17-0.05</f>
        <v>0.03</v>
      </c>
      <c r="K5" s="4">
        <f>Info!J17-0.05</f>
        <v>3.2000000000000001E-2</v>
      </c>
      <c r="L5" s="4">
        <f>Info!K17-0.05</f>
        <v>3.3000000000000002E-2</v>
      </c>
      <c r="M5" s="4">
        <f>Info!L17-0.05</f>
        <v>3.5000000000000003E-2</v>
      </c>
      <c r="N5" s="4">
        <f>Info!M17-0.05</f>
        <v>3.6999999999999991E-2</v>
      </c>
      <c r="O5" s="4">
        <f>Info!B23-0.05</f>
        <v>3.9999999999999994E-2</v>
      </c>
      <c r="P5" s="4">
        <f>Info!C23-0.05</f>
        <v>4.3999999999999997E-2</v>
      </c>
      <c r="Q5" s="4">
        <f>Info!D23-0.05</f>
        <v>5.8999999999999997E-2</v>
      </c>
      <c r="R5" s="4">
        <f>Info!E23-0.05</f>
        <v>4.4999999999999998E-2</v>
      </c>
      <c r="S5" s="4">
        <f>Info!F23-0.05</f>
        <v>4.5999999999999999E-2</v>
      </c>
      <c r="T5" s="4">
        <f>Info!G23-0.05</f>
        <v>4.9000000000000002E-2</v>
      </c>
      <c r="U5" s="4">
        <f>Info!H23-0.05</f>
        <v>4.8000000000000001E-2</v>
      </c>
      <c r="V5" s="4">
        <f>Info!I23-0.05</f>
        <v>5.1999999999999991E-2</v>
      </c>
      <c r="W5" s="4">
        <f>Info!J23-0.05</f>
        <v>6.2E-2</v>
      </c>
      <c r="X5" s="4">
        <f>Info!K23-0.05</f>
        <v>5.3999999999999992E-2</v>
      </c>
      <c r="Y5" s="4">
        <f>Info!L23-0.05</f>
        <v>5.6999999999999995E-2</v>
      </c>
      <c r="Z5" s="4">
        <f>Info!M23-0.05</f>
        <v>5.7999999999999996E-2</v>
      </c>
    </row>
    <row r="6" spans="1:26">
      <c r="A6" s="5"/>
      <c r="B6" s="10" t="s">
        <v>74</v>
      </c>
      <c r="C6" s="4">
        <f>Info!B18-0.05</f>
        <v>2.4999999999999994E-2</v>
      </c>
      <c r="D6" s="4">
        <f>Info!C18-0.05</f>
        <v>2.4999999999999994E-2</v>
      </c>
      <c r="E6" s="4">
        <f>Info!D18-0.05</f>
        <v>2.1999999999999992E-2</v>
      </c>
      <c r="F6" s="4">
        <f>Info!E18-0.05</f>
        <v>2.0000000000000004E-2</v>
      </c>
      <c r="G6" s="4">
        <f>Info!F18-0.05</f>
        <v>2.5999999999999995E-2</v>
      </c>
      <c r="H6" s="4">
        <f>Info!G18-0.05</f>
        <v>2.8999999999999998E-2</v>
      </c>
      <c r="I6" s="4">
        <f>Info!H18-0.05</f>
        <v>0.03</v>
      </c>
      <c r="J6" s="4">
        <f>Info!I18-0.05</f>
        <v>3.4000000000000002E-2</v>
      </c>
      <c r="K6" s="4">
        <f>Info!J18-0.05</f>
        <v>3.5000000000000003E-2</v>
      </c>
      <c r="L6" s="4">
        <f>Info!K18-0.05</f>
        <v>3.599999999999999E-2</v>
      </c>
      <c r="M6" s="4">
        <f>Info!L18-0.05</f>
        <v>3.8999999999999993E-2</v>
      </c>
      <c r="N6" s="4">
        <f>Info!M18-0.05</f>
        <v>4.0999999999999995E-2</v>
      </c>
      <c r="O6" s="4">
        <f>Info!B24-0.05</f>
        <v>4.7E-2</v>
      </c>
      <c r="P6" s="4">
        <f>Info!C24-0.05</f>
        <v>3.8999999999999993E-2</v>
      </c>
      <c r="Q6" s="4">
        <f>Info!D24-0.05</f>
        <v>4.8000000000000001E-2</v>
      </c>
      <c r="R6" s="4">
        <f>Info!E24-0.05</f>
        <v>4.9000000000000002E-2</v>
      </c>
      <c r="S6" s="4">
        <f>Info!F24-0.05</f>
        <v>0.05</v>
      </c>
      <c r="T6" s="4">
        <f>Info!G24-0.05</f>
        <v>0.05</v>
      </c>
      <c r="U6" s="4">
        <f>Info!H24-0.05</f>
        <v>5.2999999999999992E-2</v>
      </c>
      <c r="V6" s="4">
        <f>Info!I24-0.05</f>
        <v>5.6999999999999995E-2</v>
      </c>
      <c r="W6" s="4">
        <f>Info!J24-0.05</f>
        <v>6.0999999999999999E-2</v>
      </c>
      <c r="X6" s="4">
        <f>Info!K24-0.05</f>
        <v>5.8999999999999997E-2</v>
      </c>
      <c r="Y6" s="4">
        <f>Info!L24-0.05</f>
        <v>0.06</v>
      </c>
      <c r="Z6" s="4">
        <f>Info!M24-0.05</f>
        <v>6.2E-2</v>
      </c>
    </row>
    <row r="7" spans="1:26" ht="15" customHeight="1">
      <c r="B7" s="10" t="s">
        <v>75</v>
      </c>
      <c r="C7" s="4">
        <f>Info!B19-0.05</f>
        <v>1.0999999999999996E-2</v>
      </c>
      <c r="D7" s="4">
        <f>Info!C19-0.05</f>
        <v>1.0999999999999996E-2</v>
      </c>
      <c r="E7" s="4">
        <f>Info!D19-0.05</f>
        <v>1.6E-2</v>
      </c>
      <c r="F7" s="4">
        <f>Info!E19-0.05</f>
        <v>1.9000000000000003E-2</v>
      </c>
      <c r="G7" s="4">
        <f>Info!F19-0.05</f>
        <v>2.1999999999999992E-2</v>
      </c>
      <c r="H7" s="4">
        <f>Info!G19-0.05</f>
        <v>2.3999999999999994E-2</v>
      </c>
      <c r="I7" s="4">
        <f>Info!H19-0.05</f>
        <v>2.5999999999999995E-2</v>
      </c>
      <c r="J7" s="4">
        <f>Info!I19-0.05</f>
        <v>2.7999999999999997E-2</v>
      </c>
      <c r="K7" s="4">
        <f>Info!J19-0.05</f>
        <v>2.5999999999999995E-2</v>
      </c>
      <c r="L7" s="4">
        <f>Info!K19-0.05</f>
        <v>3.2000000000000001E-2</v>
      </c>
      <c r="M7" s="4">
        <f>Info!L19-0.05</f>
        <v>3.2000000000000001E-2</v>
      </c>
      <c r="N7" s="4">
        <f>Info!M19-0.05</f>
        <v>3.3000000000000002E-2</v>
      </c>
      <c r="O7" s="4">
        <f>Info!B25-0.05</f>
        <v>3.6999999999999991E-2</v>
      </c>
      <c r="P7" s="4">
        <f>Info!C25-0.05</f>
        <v>3.8999999999999993E-2</v>
      </c>
      <c r="Q7" s="4">
        <f>Info!D25-0.05</f>
        <v>4.1999999999999996E-2</v>
      </c>
      <c r="R7" s="4">
        <f>Info!E25-0.05</f>
        <v>4.1999999999999996E-2</v>
      </c>
      <c r="S7" s="4">
        <f>Info!F25-0.05</f>
        <v>4.3999999999999997E-2</v>
      </c>
      <c r="T7" s="4">
        <f>Info!G25-0.05</f>
        <v>4.5999999999999999E-2</v>
      </c>
      <c r="U7" s="4">
        <f>Info!H25-0.05</f>
        <v>4.8000000000000001E-2</v>
      </c>
      <c r="V7" s="4">
        <f>Info!I25-0.05</f>
        <v>0.05</v>
      </c>
      <c r="W7" s="4">
        <f>Info!J25-0.05</f>
        <v>5.1000000000000004E-2</v>
      </c>
      <c r="X7" s="4">
        <f>Info!K25-0.05</f>
        <v>5.5999999999999994E-2</v>
      </c>
      <c r="Y7" s="4">
        <f>Info!L25-0.05</f>
        <v>5.6999999999999995E-2</v>
      </c>
      <c r="Z7" s="4">
        <f>Info!M25-0.05</f>
        <v>5.7999999999999996E-2</v>
      </c>
    </row>
    <row r="8" spans="1:26" ht="15" customHeight="1">
      <c r="B8" s="10" t="s">
        <v>76</v>
      </c>
      <c r="C8" s="4">
        <f>Info!B20-0.05</f>
        <v>1.0999999999999996E-2</v>
      </c>
      <c r="D8" s="4">
        <f>Info!C20-0.05</f>
        <v>1.0999999999999996E-2</v>
      </c>
      <c r="E8" s="4">
        <f>Info!D20-0.05</f>
        <v>1.3999999999999999E-2</v>
      </c>
      <c r="F8" s="4">
        <f>Info!E20-0.05</f>
        <v>1.4999999999999999E-2</v>
      </c>
      <c r="G8" s="4">
        <f>Info!F20-0.05</f>
        <v>1.7000000000000001E-2</v>
      </c>
      <c r="H8" s="4">
        <f>Info!G20-0.05</f>
        <v>1.9000000000000003E-2</v>
      </c>
      <c r="I8" s="4">
        <f>Info!H20-0.05</f>
        <v>2.1999999999999992E-2</v>
      </c>
      <c r="J8" s="4">
        <f>Info!I20-0.05</f>
        <v>2.1999999999999992E-2</v>
      </c>
      <c r="K8" s="4">
        <f>Info!J20-0.05</f>
        <v>2.2999999999999993E-2</v>
      </c>
      <c r="L8" s="4">
        <f>Info!K20-0.05</f>
        <v>2.4999999999999994E-2</v>
      </c>
      <c r="M8" s="4"/>
      <c r="N8" s="4">
        <f>Info!M20-0.05</f>
        <v>3.1E-2</v>
      </c>
      <c r="O8" s="4">
        <f>Info!B26-0.05</f>
        <v>0.03</v>
      </c>
      <c r="P8" s="4">
        <f>Info!C26-0.05</f>
        <v>3.4000000000000002E-2</v>
      </c>
      <c r="Q8" s="4">
        <f>Info!D26-0.05</f>
        <v>3.2000000000000001E-2</v>
      </c>
      <c r="R8" s="4">
        <f>Info!E26-0.05</f>
        <v>3.2000000000000001E-2</v>
      </c>
      <c r="S8" s="4">
        <f>Info!F26-0.05</f>
        <v>3.5000000000000003E-2</v>
      </c>
      <c r="T8" s="4">
        <f>Info!G26-0.05</f>
        <v>3.599999999999999E-2</v>
      </c>
      <c r="U8" s="4">
        <f>Info!H26-0.05</f>
        <v>3.6999999999999991E-2</v>
      </c>
      <c r="V8" s="4">
        <f>Info!I26-0.05</f>
        <v>3.8999999999999993E-2</v>
      </c>
      <c r="W8" s="4">
        <f>Info!J26-0.05</f>
        <v>3.9999999999999994E-2</v>
      </c>
      <c r="X8" s="4">
        <f>Info!K26-0.05</f>
        <v>4.1999999999999996E-2</v>
      </c>
      <c r="Y8" s="4">
        <f>Info!L26-0.05</f>
        <v>4.2999999999999997E-2</v>
      </c>
      <c r="Z8" s="4">
        <f>Info!M26-0.05</f>
        <v>4.3999999999999997E-2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980"/>
  <sheetViews>
    <sheetView zoomScale="60" workbookViewId="0">
      <selection activeCell="O70" sqref="O70"/>
    </sheetView>
  </sheetViews>
  <sheetFormatPr baseColWidth="10" defaultColWidth="12.6640625" defaultRowHeight="15" customHeight="1"/>
  <cols>
    <col min="1" max="26" width="10.6640625" customWidth="1"/>
  </cols>
  <sheetData>
    <row r="2" spans="1:26">
      <c r="C2" s="11">
        <f>0.25/20*100</f>
        <v>1.25</v>
      </c>
    </row>
    <row r="3" spans="1:26">
      <c r="A3" s="13" t="s">
        <v>51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6">
      <c r="B4" s="7" t="s">
        <v>2</v>
      </c>
      <c r="C4" s="4">
        <f>17</f>
        <v>17</v>
      </c>
      <c r="D4" s="4">
        <f t="shared" ref="D4:N4" si="0">C4+17</f>
        <v>34</v>
      </c>
      <c r="E4" s="4">
        <f t="shared" si="0"/>
        <v>51</v>
      </c>
      <c r="F4" s="4">
        <f t="shared" si="0"/>
        <v>68</v>
      </c>
      <c r="G4" s="4">
        <f t="shared" si="0"/>
        <v>85</v>
      </c>
      <c r="H4" s="4">
        <f t="shared" si="0"/>
        <v>102</v>
      </c>
      <c r="I4" s="4">
        <f t="shared" si="0"/>
        <v>119</v>
      </c>
      <c r="J4" s="4">
        <f t="shared" si="0"/>
        <v>136</v>
      </c>
      <c r="K4" s="4">
        <f t="shared" si="0"/>
        <v>153</v>
      </c>
      <c r="L4" s="4">
        <f t="shared" si="0"/>
        <v>170</v>
      </c>
      <c r="M4" s="4">
        <f t="shared" si="0"/>
        <v>187</v>
      </c>
      <c r="N4" s="4">
        <f t="shared" si="0"/>
        <v>204</v>
      </c>
      <c r="O4" s="4">
        <f>N4+17</f>
        <v>221</v>
      </c>
      <c r="P4" s="4">
        <f t="shared" ref="P4:Z4" si="1">O4+17</f>
        <v>238</v>
      </c>
      <c r="Q4" s="4">
        <f t="shared" si="1"/>
        <v>255</v>
      </c>
      <c r="R4" s="4">
        <f t="shared" si="1"/>
        <v>272</v>
      </c>
      <c r="S4" s="4">
        <f t="shared" si="1"/>
        <v>289</v>
      </c>
      <c r="T4" s="4">
        <f t="shared" si="1"/>
        <v>306</v>
      </c>
      <c r="U4" s="4">
        <f t="shared" si="1"/>
        <v>323</v>
      </c>
      <c r="V4" s="4">
        <f t="shared" si="1"/>
        <v>340</v>
      </c>
      <c r="W4" s="4">
        <f t="shared" si="1"/>
        <v>357</v>
      </c>
      <c r="X4" s="4">
        <f t="shared" si="1"/>
        <v>374</v>
      </c>
      <c r="Y4" s="4">
        <f t="shared" si="1"/>
        <v>391</v>
      </c>
      <c r="Z4" s="4">
        <f t="shared" si="1"/>
        <v>408</v>
      </c>
    </row>
    <row r="5" spans="1:26">
      <c r="B5" s="10" t="s">
        <v>73</v>
      </c>
      <c r="C5" s="4">
        <f>('Correction Blank'!C5-$B$19)/$B$18</f>
        <v>0.52325581395348808</v>
      </c>
      <c r="D5" s="4">
        <f>('Correction Blank'!D5-$B$19)/$B$18</f>
        <v>0.69767441860465107</v>
      </c>
      <c r="E5" s="4">
        <f>('Correction Blank'!E5-$B$19)/$B$18</f>
        <v>0.87209302325581406</v>
      </c>
      <c r="F5" s="4">
        <f>('Correction Blank'!F5-$B$19)/$B$18</f>
        <v>1.162790697674418</v>
      </c>
      <c r="G5" s="4">
        <f>('Correction Blank'!G5-$B$19)/$B$18</f>
        <v>1.3372093023255809</v>
      </c>
      <c r="H5" s="4">
        <f>('Correction Blank'!H5-$B$19)/$B$18</f>
        <v>1.3953488372093019</v>
      </c>
      <c r="I5" s="4">
        <f>('Correction Blank'!I5-$B$19)/$B$18</f>
        <v>1.5697674418604648</v>
      </c>
      <c r="J5" s="4">
        <f>('Correction Blank'!J5-$B$19)/$B$18</f>
        <v>1.6279069767441858</v>
      </c>
      <c r="K5" s="4">
        <f>('Correction Blank'!K5-$B$19)/$B$18</f>
        <v>1.7441860465116279</v>
      </c>
      <c r="L5" s="4">
        <f>('Correction Blank'!L5-$B$19)/$B$18</f>
        <v>1.8023255813953489</v>
      </c>
      <c r="M5" s="4">
        <f>('Correction Blank'!M5-$B$19)/$B$18</f>
        <v>1.9186046511627908</v>
      </c>
      <c r="N5" s="4">
        <f>('Correction Blank'!N5-$B$19)/$B$18</f>
        <v>2.0348837209302317</v>
      </c>
      <c r="O5" s="4">
        <f>('Correction Blank'!O5-$B$19)/$B$18</f>
        <v>2.2093023255813948</v>
      </c>
      <c r="P5" s="4">
        <f>('Correction Blank'!P5-$B$19)/$B$18</f>
        <v>2.441860465116279</v>
      </c>
      <c r="Q5" s="4">
        <f>('Correction Blank'!Q5-$B$19)/$B$18</f>
        <v>3.3139534883720927</v>
      </c>
      <c r="R5" s="4">
        <f>('Correction Blank'!R5-$B$19)/$B$18</f>
        <v>2.5</v>
      </c>
      <c r="S5" s="4">
        <f>('Correction Blank'!S5-$B$19)/$B$18</f>
        <v>2.5581395348837206</v>
      </c>
      <c r="T5" s="4">
        <f>('Correction Blank'!T5-$B$19)/$B$18</f>
        <v>2.7325581395348837</v>
      </c>
      <c r="U5" s="4">
        <f>('Correction Blank'!U5-$B$19)/$B$18</f>
        <v>2.6744186046511627</v>
      </c>
      <c r="V5" s="4">
        <f>('Correction Blank'!V5-$B$19)/$B$18</f>
        <v>2.9069767441860459</v>
      </c>
      <c r="W5" s="4">
        <f>('Correction Blank'!W5-$B$19)/$B$18</f>
        <v>3.4883720930232558</v>
      </c>
      <c r="X5" s="4">
        <f>('Correction Blank'!X5-$B$19)/$B$18</f>
        <v>3.023255813953488</v>
      </c>
      <c r="Y5" s="4">
        <f>('Correction Blank'!Y5-$B$19)/$B$18</f>
        <v>3.1976744186046506</v>
      </c>
      <c r="Z5" s="4">
        <f>('Correction Blank'!Z5-$B$19)/$B$18</f>
        <v>3.2558139534883717</v>
      </c>
    </row>
    <row r="6" spans="1:26">
      <c r="B6" s="10" t="s">
        <v>74</v>
      </c>
      <c r="C6" s="4">
        <f>('Correction Blank'!C6-$B$19)/$B$18</f>
        <v>1.3372093023255809</v>
      </c>
      <c r="D6" s="4">
        <f>('Correction Blank'!D6-$B$19)/$B$18</f>
        <v>1.3372093023255809</v>
      </c>
      <c r="E6" s="4">
        <f>('Correction Blank'!E6-$B$19)/$B$18</f>
        <v>1.162790697674418</v>
      </c>
      <c r="F6" s="4">
        <f>('Correction Blank'!F6-$B$19)/$B$18</f>
        <v>1.0465116279069768</v>
      </c>
      <c r="G6" s="4">
        <f>('Correction Blank'!G6-$B$19)/$B$18</f>
        <v>1.3953488372093019</v>
      </c>
      <c r="H6" s="4">
        <f>('Correction Blank'!H6-$B$19)/$B$18</f>
        <v>1.5697674418604648</v>
      </c>
      <c r="I6" s="4">
        <f>('Correction Blank'!I6-$B$19)/$B$18</f>
        <v>1.6279069767441858</v>
      </c>
      <c r="J6" s="4">
        <f>('Correction Blank'!J6-$B$19)/$B$18</f>
        <v>1.8604651162790697</v>
      </c>
      <c r="K6" s="4">
        <f>('Correction Blank'!K6-$B$19)/$B$18</f>
        <v>1.9186046511627908</v>
      </c>
      <c r="L6" s="4">
        <f>('Correction Blank'!L6-$B$19)/$B$18</f>
        <v>1.9767441860465109</v>
      </c>
      <c r="M6" s="4">
        <f>('Correction Blank'!M6-$B$19)/$B$18</f>
        <v>2.1511627906976738</v>
      </c>
      <c r="N6" s="4">
        <f>('Correction Blank'!N6-$B$19)/$B$18</f>
        <v>2.2674418604651159</v>
      </c>
      <c r="O6" s="4">
        <f>('Correction Blank'!O6-$B$19)/$B$18</f>
        <v>2.6162790697674416</v>
      </c>
      <c r="P6" s="4">
        <f>('Correction Blank'!P6-$B$19)/$B$18</f>
        <v>2.1511627906976738</v>
      </c>
      <c r="Q6" s="4">
        <f>('Correction Blank'!Q6-$B$19)/$B$18</f>
        <v>2.6744186046511627</v>
      </c>
      <c r="R6" s="4">
        <f>('Correction Blank'!R6-$B$19)/$B$18</f>
        <v>2.7325581395348837</v>
      </c>
      <c r="S6" s="4">
        <f>('Correction Blank'!S6-$B$19)/$B$18</f>
        <v>2.7906976744186047</v>
      </c>
      <c r="T6" s="4">
        <f>('Correction Blank'!T6-$B$19)/$B$18</f>
        <v>2.7906976744186047</v>
      </c>
      <c r="U6" s="4">
        <f>('Correction Blank'!U6-$B$19)/$B$18</f>
        <v>2.9651162790697669</v>
      </c>
      <c r="V6" s="4">
        <f>('Correction Blank'!V6-$B$19)/$B$18</f>
        <v>3.1976744186046506</v>
      </c>
      <c r="W6" s="4">
        <f>('Correction Blank'!W6-$B$19)/$B$18</f>
        <v>3.4302325581395348</v>
      </c>
      <c r="X6" s="4">
        <f>('Correction Blank'!X6-$B$19)/$B$18</f>
        <v>3.3139534883720927</v>
      </c>
      <c r="Y6" s="4">
        <f>('Correction Blank'!Y6-$B$19)/$B$18</f>
        <v>3.3720930232558137</v>
      </c>
      <c r="Z6" s="4">
        <f>('Correction Blank'!Z6-$B$19)/$B$18</f>
        <v>3.4883720930232558</v>
      </c>
    </row>
    <row r="7" spans="1:26" s="10" customFormat="1" ht="14">
      <c r="B7" s="10" t="s">
        <v>75</v>
      </c>
      <c r="C7" s="4">
        <f>('Correction Blank'!C7-$B$19)/$B$18</f>
        <v>0.52325581395348808</v>
      </c>
      <c r="D7" s="4">
        <f>('Correction Blank'!D7-$B$19)/$B$18</f>
        <v>0.52325581395348808</v>
      </c>
      <c r="E7" s="4">
        <f>('Correction Blank'!E7-$B$19)/$B$18</f>
        <v>0.81395348837209303</v>
      </c>
      <c r="F7" s="4">
        <f>('Correction Blank'!F7-$B$19)/$B$18</f>
        <v>0.9883720930232559</v>
      </c>
      <c r="G7" s="4">
        <f>('Correction Blank'!G7-$B$19)/$B$18</f>
        <v>1.162790697674418</v>
      </c>
      <c r="H7" s="4">
        <f>('Correction Blank'!H7-$B$19)/$B$18</f>
        <v>1.2790697674418601</v>
      </c>
      <c r="I7" s="4">
        <f>('Correction Blank'!I7-$B$19)/$B$18</f>
        <v>1.3953488372093019</v>
      </c>
      <c r="J7" s="4">
        <f>('Correction Blank'!J7-$B$19)/$B$18</f>
        <v>1.511627906976744</v>
      </c>
      <c r="K7" s="4">
        <f>('Correction Blank'!K7-$B$19)/$B$18</f>
        <v>1.3953488372093019</v>
      </c>
      <c r="L7" s="4">
        <f>('Correction Blank'!L7-$B$19)/$B$18</f>
        <v>1.7441860465116279</v>
      </c>
      <c r="M7" s="4">
        <f>('Correction Blank'!M7-$B$19)/$B$18</f>
        <v>1.7441860465116279</v>
      </c>
      <c r="N7" s="4">
        <f>('Correction Blank'!N7-$B$19)/$B$18</f>
        <v>1.8023255813953489</v>
      </c>
      <c r="O7" s="4">
        <f>('Correction Blank'!O7-$B$19)/$B$18</f>
        <v>2.0348837209302317</v>
      </c>
      <c r="P7" s="4">
        <f>('Correction Blank'!P7-$B$19)/$B$18</f>
        <v>2.1511627906976738</v>
      </c>
      <c r="Q7" s="4">
        <f>('Correction Blank'!Q7-$B$19)/$B$18</f>
        <v>2.3255813953488369</v>
      </c>
      <c r="R7" s="4">
        <f>('Correction Blank'!R7-$B$19)/$B$18</f>
        <v>2.3255813953488369</v>
      </c>
      <c r="S7" s="4">
        <f>('Correction Blank'!S7-$B$19)/$B$18</f>
        <v>2.441860465116279</v>
      </c>
      <c r="T7" s="4">
        <f>('Correction Blank'!T7-$B$19)/$B$18</f>
        <v>2.5581395348837206</v>
      </c>
      <c r="U7" s="4">
        <f>('Correction Blank'!U7-$B$19)/$B$18</f>
        <v>2.6744186046511627</v>
      </c>
      <c r="V7" s="4">
        <f>('Correction Blank'!V7-$B$19)/$B$18</f>
        <v>2.7906976744186047</v>
      </c>
      <c r="W7" s="4">
        <f>('Correction Blank'!W7-$B$19)/$B$18</f>
        <v>2.8488372093023258</v>
      </c>
      <c r="X7" s="4">
        <f>('Correction Blank'!X7-$B$19)/$B$18</f>
        <v>3.1395348837209296</v>
      </c>
      <c r="Y7" s="4">
        <f>('Correction Blank'!Y7-$B$19)/$B$18</f>
        <v>3.1976744186046506</v>
      </c>
      <c r="Z7" s="4">
        <f>('Correction Blank'!Z7-$B$19)/$B$18</f>
        <v>3.2558139534883717</v>
      </c>
    </row>
    <row r="8" spans="1:26" s="10" customFormat="1" ht="14">
      <c r="B8" s="10" t="s">
        <v>76</v>
      </c>
      <c r="C8" s="4">
        <f>('Correction Blank'!C8-$B$19)/$B$18</f>
        <v>0.52325581395348808</v>
      </c>
      <c r="D8" s="4">
        <f>('Correction Blank'!D8-$B$19)/$B$18</f>
        <v>0.52325581395348808</v>
      </c>
      <c r="E8" s="4">
        <f>('Correction Blank'!E8-$B$19)/$B$18</f>
        <v>0.69767441860465107</v>
      </c>
      <c r="F8" s="4">
        <f>('Correction Blank'!F8-$B$19)/$B$18</f>
        <v>0.7558139534883721</v>
      </c>
      <c r="G8" s="4">
        <f>('Correction Blank'!G8-$B$19)/$B$18</f>
        <v>0.87209302325581406</v>
      </c>
      <c r="H8" s="4">
        <f>('Correction Blank'!H8-$B$19)/$B$18</f>
        <v>0.9883720930232559</v>
      </c>
      <c r="I8" s="4">
        <f>('Correction Blank'!I8-$B$19)/$B$18</f>
        <v>1.162790697674418</v>
      </c>
      <c r="J8" s="4">
        <f>('Correction Blank'!J8-$B$19)/$B$18</f>
        <v>1.162790697674418</v>
      </c>
      <c r="K8" s="4">
        <f>('Correction Blank'!K8-$B$19)/$B$18</f>
        <v>1.220930232558139</v>
      </c>
      <c r="L8" s="4">
        <f>('Correction Blank'!L8-$B$19)/$B$18</f>
        <v>1.3372093023255809</v>
      </c>
      <c r="M8" s="4">
        <f>('Correction Blank'!M8-$B$19)/$B$18</f>
        <v>-0.11627906976744186</v>
      </c>
      <c r="N8" s="4">
        <f>('Correction Blank'!N8-$B$19)/$B$18</f>
        <v>1.6860465116279069</v>
      </c>
      <c r="O8" s="4">
        <f>('Correction Blank'!O8-$B$19)/$B$18</f>
        <v>1.6279069767441858</v>
      </c>
      <c r="P8" s="4">
        <f>('Correction Blank'!P8-$B$19)/$B$18</f>
        <v>1.8604651162790697</v>
      </c>
      <c r="Q8" s="4">
        <f>('Correction Blank'!Q8-$B$19)/$B$18</f>
        <v>1.7441860465116279</v>
      </c>
      <c r="R8" s="4">
        <f>('Correction Blank'!R8-$B$19)/$B$18</f>
        <v>1.7441860465116279</v>
      </c>
      <c r="S8" s="4">
        <f>('Correction Blank'!S8-$B$19)/$B$18</f>
        <v>1.9186046511627908</v>
      </c>
      <c r="T8" s="4">
        <f>('Correction Blank'!T8-$B$19)/$B$18</f>
        <v>1.9767441860465109</v>
      </c>
      <c r="U8" s="4">
        <f>('Correction Blank'!U8-$B$19)/$B$18</f>
        <v>2.0348837209302317</v>
      </c>
      <c r="V8" s="4">
        <f>('Correction Blank'!V8-$B$19)/$B$18</f>
        <v>2.1511627906976738</v>
      </c>
      <c r="W8" s="4">
        <f>('Correction Blank'!W8-$B$19)/$B$18</f>
        <v>2.2093023255813948</v>
      </c>
      <c r="X8" s="4">
        <f>('Correction Blank'!X8-$B$19)/$B$18</f>
        <v>2.3255813953488369</v>
      </c>
      <c r="Y8" s="4">
        <f>('Correction Blank'!Y8-$B$19)/$B$18</f>
        <v>2.3837209302325579</v>
      </c>
      <c r="Z8" s="4">
        <f>('Correction Blank'!Z8-$B$19)/$B$18</f>
        <v>2.441860465116279</v>
      </c>
    </row>
    <row r="9" spans="1:26" s="10" customFormat="1" ht="13"/>
    <row r="10" spans="1:26" s="10" customFormat="1" ht="13"/>
    <row r="12" spans="1:26" ht="12.75" customHeight="1">
      <c r="A12" s="5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29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5"/>
      <c r="Z13" s="5"/>
    </row>
    <row r="14" spans="1:26" ht="13.5" customHeight="1">
      <c r="A14" s="27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9"/>
      <c r="Y14" s="9"/>
      <c r="Z14" s="9"/>
    </row>
    <row r="15" spans="1:26" ht="13.5" customHeight="1">
      <c r="A15" s="27"/>
      <c r="B15" s="4"/>
      <c r="C15" t="s">
        <v>78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11" t="s">
        <v>47</v>
      </c>
      <c r="B18" s="11">
        <v>1.72E-2</v>
      </c>
    </row>
    <row r="19" spans="1:26" ht="15.75" customHeight="1">
      <c r="A19" s="11" t="s">
        <v>48</v>
      </c>
      <c r="B19" s="11">
        <v>2E-3</v>
      </c>
    </row>
    <row r="20" spans="1:26" ht="15.75" customHeight="1">
      <c r="A20" s="11" t="s">
        <v>49</v>
      </c>
      <c r="B20" s="11">
        <v>20</v>
      </c>
    </row>
    <row r="21" spans="1:26" ht="15.75" customHeight="1"/>
    <row r="22" spans="1:26" ht="15.75" customHeight="1"/>
    <row r="23" spans="1:26" ht="15.75" customHeight="1"/>
    <row r="24" spans="1:26" ht="15.75" customHeight="1"/>
    <row r="25" spans="1:26" ht="15.75" customHeight="1"/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spans="9:9" ht="15.75" customHeight="1"/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/>
    <row r="39" spans="9:9" ht="15.75" customHeight="1"/>
    <row r="40" spans="9:9" ht="15.75" customHeight="1"/>
    <row r="41" spans="9:9" ht="15.75" customHeight="1"/>
    <row r="42" spans="9:9" ht="15.75" customHeight="1"/>
    <row r="43" spans="9:9" ht="15.75" customHeight="1"/>
    <row r="44" spans="9:9" ht="15.75" customHeight="1">
      <c r="I44" s="11"/>
    </row>
    <row r="45" spans="9:9" ht="15.75" customHeight="1"/>
    <row r="46" spans="9:9" ht="15.75" customHeight="1"/>
    <row r="47" spans="9:9" ht="15.75" customHeight="1"/>
    <row r="48" spans="9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13:A15"/>
  </mergeCells>
  <phoneticPr fontId="1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6"/>
  <sheetViews>
    <sheetView showGridLines="0" tabSelected="1" zoomScale="125" workbookViewId="0">
      <pane xSplit="2" ySplit="12" topLeftCell="C13" activePane="bottomRight" state="frozen"/>
      <selection pane="topRight" activeCell="C1" sqref="C1"/>
      <selection pane="bottomLeft" activeCell="A9" sqref="A9"/>
      <selection pane="bottomRight" activeCell="Q38" sqref="Q38"/>
    </sheetView>
  </sheetViews>
  <sheetFormatPr baseColWidth="10" defaultColWidth="12.6640625" defaultRowHeight="15" customHeight="1"/>
  <cols>
    <col min="1" max="1" width="37.5" customWidth="1"/>
    <col min="2" max="2" width="24" customWidth="1"/>
    <col min="3" max="24" width="11" customWidth="1"/>
    <col min="25" max="26" width="8.83203125" customWidth="1"/>
  </cols>
  <sheetData>
    <row r="1" spans="1:27" ht="24" customHeight="1">
      <c r="A1" s="30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2" spans="1:27" ht="18" customHeight="1">
      <c r="A2" s="33" t="s">
        <v>79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7" ht="18" customHeight="1"/>
    <row r="4" spans="1:27" ht="18" customHeight="1">
      <c r="A4" s="14" t="s">
        <v>15</v>
      </c>
    </row>
    <row r="5" spans="1:27" ht="18" customHeight="1">
      <c r="A5" s="11" t="s">
        <v>16</v>
      </c>
      <c r="B5" s="9">
        <f>Info!B37</f>
        <v>19.3</v>
      </c>
      <c r="D5" s="11" t="s">
        <v>17</v>
      </c>
      <c r="E5" s="16" t="s">
        <v>18</v>
      </c>
    </row>
    <row r="6" spans="1:27" ht="18" customHeight="1">
      <c r="A6" s="11"/>
      <c r="B6" s="9">
        <f>Info!B38</f>
        <v>19.7</v>
      </c>
      <c r="D6" s="11"/>
      <c r="E6" s="16"/>
    </row>
    <row r="7" spans="1:27" ht="18" customHeight="1">
      <c r="A7" s="11"/>
      <c r="B7" s="9">
        <f>Info!B39</f>
        <v>19.5</v>
      </c>
      <c r="D7" s="11"/>
      <c r="E7" s="16"/>
    </row>
    <row r="8" spans="1:27" ht="18" customHeight="1">
      <c r="A8" s="11"/>
      <c r="B8" s="9">
        <f>Info!B40</f>
        <v>24.1</v>
      </c>
      <c r="D8" s="11"/>
      <c r="E8" s="16"/>
    </row>
    <row r="9" spans="1:27" ht="18" customHeight="1">
      <c r="A9" s="11"/>
      <c r="B9" s="15"/>
      <c r="D9" s="11"/>
      <c r="E9" s="16"/>
    </row>
    <row r="10" spans="1:27" ht="30" customHeight="1">
      <c r="A10" s="11" t="s">
        <v>19</v>
      </c>
      <c r="B10" s="17">
        <v>0.25</v>
      </c>
      <c r="D10" s="11" t="s">
        <v>20</v>
      </c>
      <c r="E10" s="34" t="s">
        <v>21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7" ht="30" customHeight="1">
      <c r="A11" s="11" t="s">
        <v>22</v>
      </c>
      <c r="B11" s="17">
        <v>250</v>
      </c>
      <c r="D11" s="11" t="s">
        <v>23</v>
      </c>
      <c r="E11" s="34" t="s">
        <v>24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7" ht="18" customHeight="1"/>
    <row r="13" spans="1:27" ht="18" customHeight="1">
      <c r="A13" s="14" t="s">
        <v>25</v>
      </c>
    </row>
    <row r="14" spans="1:27" ht="18" customHeight="1">
      <c r="B14" s="18" t="s">
        <v>2</v>
      </c>
      <c r="C14" s="18">
        <f>Conversions!C4</f>
        <v>17</v>
      </c>
      <c r="D14" s="18">
        <f>Conversions!D4</f>
        <v>34</v>
      </c>
      <c r="E14" s="18">
        <f>Conversions!E4</f>
        <v>51</v>
      </c>
      <c r="F14" s="18">
        <f>Conversions!F4</f>
        <v>68</v>
      </c>
      <c r="G14" s="18">
        <f>Conversions!G4</f>
        <v>85</v>
      </c>
      <c r="H14" s="18">
        <f>Conversions!H4</f>
        <v>102</v>
      </c>
      <c r="I14" s="18">
        <f>Conversions!I4</f>
        <v>119</v>
      </c>
      <c r="J14" s="18">
        <f>Conversions!J4</f>
        <v>136</v>
      </c>
      <c r="K14" s="18">
        <f>Conversions!K4</f>
        <v>153</v>
      </c>
      <c r="L14" s="18">
        <f>Conversions!L4</f>
        <v>170</v>
      </c>
      <c r="M14" s="18">
        <f>Conversions!M4</f>
        <v>187</v>
      </c>
      <c r="N14" s="18">
        <f>Conversions!N4</f>
        <v>204</v>
      </c>
      <c r="O14" s="18">
        <f>N14+17</f>
        <v>221</v>
      </c>
      <c r="P14" s="18">
        <f t="shared" ref="P14:X14" si="0">O14+17</f>
        <v>238</v>
      </c>
      <c r="Q14" s="18">
        <f t="shared" si="0"/>
        <v>255</v>
      </c>
      <c r="R14" s="18">
        <f t="shared" si="0"/>
        <v>272</v>
      </c>
      <c r="S14" s="18">
        <f t="shared" si="0"/>
        <v>289</v>
      </c>
      <c r="T14" s="18">
        <f t="shared" si="0"/>
        <v>306</v>
      </c>
      <c r="U14" s="18">
        <f t="shared" si="0"/>
        <v>323</v>
      </c>
      <c r="V14" s="18">
        <f t="shared" si="0"/>
        <v>340</v>
      </c>
      <c r="W14" s="18">
        <f t="shared" si="0"/>
        <v>357</v>
      </c>
      <c r="X14" s="18">
        <f t="shared" si="0"/>
        <v>374</v>
      </c>
      <c r="Y14" s="18">
        <f t="shared" ref="Y14" si="1">X14+17</f>
        <v>391</v>
      </c>
      <c r="Z14" s="18">
        <f t="shared" ref="Z14" si="2">Y14+17</f>
        <v>408</v>
      </c>
      <c r="AA14" s="18"/>
    </row>
    <row r="15" spans="1:27" ht="18" customHeight="1">
      <c r="B15" s="10" t="s">
        <v>73</v>
      </c>
      <c r="C15" s="15">
        <f>Conversions!C5</f>
        <v>0.52325581395348808</v>
      </c>
      <c r="D15" s="15">
        <f>Conversions!D5</f>
        <v>0.69767441860465107</v>
      </c>
      <c r="E15" s="15">
        <f>Conversions!E5</f>
        <v>0.87209302325581406</v>
      </c>
      <c r="F15" s="15">
        <f>Conversions!F5</f>
        <v>1.162790697674418</v>
      </c>
      <c r="G15" s="15">
        <f>Conversions!G5</f>
        <v>1.3372093023255809</v>
      </c>
      <c r="H15" s="15">
        <f>Conversions!H5</f>
        <v>1.3953488372093019</v>
      </c>
      <c r="I15" s="15">
        <f>Conversions!I5</f>
        <v>1.5697674418604648</v>
      </c>
      <c r="J15" s="15">
        <f>Conversions!J5</f>
        <v>1.6279069767441858</v>
      </c>
      <c r="K15" s="15">
        <f>Conversions!K5</f>
        <v>1.7441860465116279</v>
      </c>
      <c r="L15" s="15">
        <f>Conversions!L5</f>
        <v>1.8023255813953489</v>
      </c>
      <c r="M15" s="15">
        <f>Conversions!M5</f>
        <v>1.9186046511627908</v>
      </c>
      <c r="N15" s="15">
        <f>Conversions!N5</f>
        <v>2.0348837209302317</v>
      </c>
      <c r="O15" s="15">
        <f>Conversions!O5</f>
        <v>2.2093023255813948</v>
      </c>
      <c r="P15" s="15">
        <f>Conversions!P5</f>
        <v>2.441860465116279</v>
      </c>
      <c r="Q15" s="15">
        <f>Conversions!Q5</f>
        <v>3.3139534883720927</v>
      </c>
      <c r="R15" s="15">
        <f>Conversions!R5</f>
        <v>2.5</v>
      </c>
      <c r="S15" s="15">
        <f>Conversions!S5</f>
        <v>2.5581395348837206</v>
      </c>
      <c r="T15" s="15">
        <f>Conversions!T5</f>
        <v>2.7325581395348837</v>
      </c>
      <c r="U15" s="15">
        <f>Conversions!U5</f>
        <v>2.6744186046511627</v>
      </c>
      <c r="V15" s="15">
        <f>Conversions!V5</f>
        <v>2.9069767441860459</v>
      </c>
      <c r="W15" s="15">
        <f>Conversions!W5</f>
        <v>3.4883720930232558</v>
      </c>
      <c r="X15" s="15">
        <f>Conversions!X5</f>
        <v>3.023255813953488</v>
      </c>
      <c r="Y15" s="15">
        <f>Conversions!Y5</f>
        <v>3.1976744186046506</v>
      </c>
      <c r="Z15" s="15">
        <f>Conversions!Z5</f>
        <v>3.2558139534883717</v>
      </c>
    </row>
    <row r="16" spans="1:27" ht="18" customHeight="1">
      <c r="B16" s="10" t="s">
        <v>74</v>
      </c>
      <c r="C16" s="15">
        <f>Conversions!C6</f>
        <v>1.3372093023255809</v>
      </c>
      <c r="D16" s="15">
        <f>Conversions!D6</f>
        <v>1.3372093023255809</v>
      </c>
      <c r="E16" s="15">
        <f>Conversions!E6</f>
        <v>1.162790697674418</v>
      </c>
      <c r="F16" s="15">
        <f>Conversions!F6</f>
        <v>1.0465116279069768</v>
      </c>
      <c r="G16" s="15">
        <f>Conversions!G6</f>
        <v>1.3953488372093019</v>
      </c>
      <c r="H16" s="15">
        <f>Conversions!H6</f>
        <v>1.5697674418604648</v>
      </c>
      <c r="I16" s="15">
        <f>Conversions!I6</f>
        <v>1.6279069767441858</v>
      </c>
      <c r="J16" s="15">
        <f>Conversions!J6</f>
        <v>1.8604651162790697</v>
      </c>
      <c r="K16" s="15">
        <f>Conversions!K6</f>
        <v>1.9186046511627908</v>
      </c>
      <c r="L16" s="15">
        <f>Conversions!L6</f>
        <v>1.9767441860465109</v>
      </c>
      <c r="M16" s="15">
        <f>Conversions!M6</f>
        <v>2.1511627906976738</v>
      </c>
      <c r="N16" s="15">
        <f>Conversions!N6</f>
        <v>2.2674418604651159</v>
      </c>
      <c r="O16" s="15">
        <f>Conversions!O6</f>
        <v>2.6162790697674416</v>
      </c>
      <c r="P16" s="15">
        <f>Conversions!P6</f>
        <v>2.1511627906976738</v>
      </c>
      <c r="Q16" s="15">
        <f>Conversions!Q6</f>
        <v>2.6744186046511627</v>
      </c>
      <c r="R16" s="15">
        <f>Conversions!R6</f>
        <v>2.7325581395348837</v>
      </c>
      <c r="S16" s="15">
        <f>Conversions!S6</f>
        <v>2.7906976744186047</v>
      </c>
      <c r="T16" s="15">
        <f>Conversions!T6</f>
        <v>2.7906976744186047</v>
      </c>
      <c r="U16" s="15">
        <f>Conversions!U6</f>
        <v>2.9651162790697669</v>
      </c>
      <c r="V16" s="15">
        <f>Conversions!V6</f>
        <v>3.1976744186046506</v>
      </c>
      <c r="W16" s="15">
        <f>Conversions!W6</f>
        <v>3.4302325581395348</v>
      </c>
      <c r="X16" s="15">
        <f>Conversions!X6</f>
        <v>3.3139534883720927</v>
      </c>
      <c r="Y16" s="15">
        <f>Conversions!Y6</f>
        <v>3.3720930232558137</v>
      </c>
      <c r="Z16" s="15">
        <f>Conversions!Z6</f>
        <v>3.4883720930232558</v>
      </c>
    </row>
    <row r="17" spans="1:26" ht="18" customHeight="1">
      <c r="B17" s="10" t="s">
        <v>75</v>
      </c>
      <c r="C17" s="15">
        <f>Conversions!C7</f>
        <v>0.52325581395348808</v>
      </c>
      <c r="D17" s="15">
        <f>Conversions!D7</f>
        <v>0.52325581395348808</v>
      </c>
      <c r="E17" s="15">
        <f>Conversions!E7</f>
        <v>0.81395348837209303</v>
      </c>
      <c r="F17" s="15">
        <f>Conversions!F7</f>
        <v>0.9883720930232559</v>
      </c>
      <c r="G17" s="15">
        <f>Conversions!G7</f>
        <v>1.162790697674418</v>
      </c>
      <c r="H17" s="15">
        <f>Conversions!H7</f>
        <v>1.2790697674418601</v>
      </c>
      <c r="I17" s="15">
        <f>Conversions!I7</f>
        <v>1.3953488372093019</v>
      </c>
      <c r="J17" s="15">
        <f>Conversions!J7</f>
        <v>1.511627906976744</v>
      </c>
      <c r="K17" s="15">
        <f>Conversions!K7</f>
        <v>1.3953488372093019</v>
      </c>
      <c r="L17" s="15">
        <f>Conversions!L7</f>
        <v>1.7441860465116279</v>
      </c>
      <c r="M17" s="15">
        <f>Conversions!M7</f>
        <v>1.7441860465116279</v>
      </c>
      <c r="N17" s="15">
        <f>Conversions!N7</f>
        <v>1.8023255813953489</v>
      </c>
      <c r="O17" s="15">
        <f>Conversions!O7</f>
        <v>2.0348837209302317</v>
      </c>
      <c r="P17" s="15">
        <f>Conversions!P7</f>
        <v>2.1511627906976738</v>
      </c>
      <c r="Q17" s="15">
        <f>Conversions!Q7</f>
        <v>2.3255813953488369</v>
      </c>
      <c r="R17" s="15">
        <f>Conversions!R7</f>
        <v>2.3255813953488369</v>
      </c>
      <c r="S17" s="15">
        <f>Conversions!S7</f>
        <v>2.441860465116279</v>
      </c>
      <c r="T17" s="15">
        <f>Conversions!T7</f>
        <v>2.5581395348837206</v>
      </c>
      <c r="U17" s="15">
        <f>Conversions!U7</f>
        <v>2.6744186046511627</v>
      </c>
      <c r="V17" s="15">
        <f>Conversions!V7</f>
        <v>2.7906976744186047</v>
      </c>
      <c r="W17" s="15">
        <f>Conversions!W7</f>
        <v>2.8488372093023258</v>
      </c>
      <c r="X17" s="15">
        <f>Conversions!X7</f>
        <v>3.1395348837209296</v>
      </c>
      <c r="Y17" s="15">
        <f>Conversions!Y7</f>
        <v>3.1976744186046506</v>
      </c>
      <c r="Z17" s="15">
        <f>Conversions!Z7</f>
        <v>3.2558139534883717</v>
      </c>
    </row>
    <row r="18" spans="1:26" ht="18" customHeight="1">
      <c r="B18" s="10" t="s">
        <v>76</v>
      </c>
      <c r="C18" s="15">
        <f>Conversions!C8</f>
        <v>0.52325581395348808</v>
      </c>
      <c r="D18" s="15">
        <f>Conversions!D8</f>
        <v>0.52325581395348808</v>
      </c>
      <c r="E18" s="15">
        <f>Conversions!E8</f>
        <v>0.69767441860465107</v>
      </c>
      <c r="F18" s="15">
        <f>Conversions!F8</f>
        <v>0.7558139534883721</v>
      </c>
      <c r="G18" s="15">
        <f>Conversions!G8</f>
        <v>0.87209302325581406</v>
      </c>
      <c r="H18" s="15">
        <f>Conversions!H8</f>
        <v>0.9883720930232559</v>
      </c>
      <c r="I18" s="15">
        <f>Conversions!I8</f>
        <v>1.162790697674418</v>
      </c>
      <c r="J18" s="15">
        <f>Conversions!J8</f>
        <v>1.162790697674418</v>
      </c>
      <c r="K18" s="15">
        <f>Conversions!K8</f>
        <v>1.220930232558139</v>
      </c>
      <c r="L18" s="15">
        <f>Conversions!L8</f>
        <v>1.3372093023255809</v>
      </c>
      <c r="M18" s="15"/>
      <c r="N18" s="15">
        <f>Conversions!N8</f>
        <v>1.6860465116279069</v>
      </c>
      <c r="O18" s="15">
        <f>Conversions!O8</f>
        <v>1.6279069767441858</v>
      </c>
      <c r="P18" s="15">
        <f>Conversions!P8</f>
        <v>1.8604651162790697</v>
      </c>
      <c r="Q18" s="15">
        <f>Conversions!Q8</f>
        <v>1.7441860465116279</v>
      </c>
      <c r="R18" s="15">
        <f>Conversions!R8</f>
        <v>1.7441860465116279</v>
      </c>
      <c r="S18" s="15">
        <f>Conversions!S8</f>
        <v>1.9186046511627908</v>
      </c>
      <c r="T18" s="15">
        <f>Conversions!T8</f>
        <v>1.9767441860465109</v>
      </c>
      <c r="U18" s="15">
        <f>Conversions!U8</f>
        <v>2.0348837209302317</v>
      </c>
      <c r="V18" s="15">
        <f>Conversions!V8</f>
        <v>2.1511627906976738</v>
      </c>
      <c r="W18" s="15">
        <f>Conversions!W8</f>
        <v>2.2093023255813948</v>
      </c>
      <c r="X18" s="15">
        <f>Conversions!X8</f>
        <v>2.3255813953488369</v>
      </c>
      <c r="Y18" s="15">
        <f>Conversions!Y8</f>
        <v>2.3837209302325579</v>
      </c>
      <c r="Z18" s="15">
        <f>Conversions!Z8</f>
        <v>2.441860465116279</v>
      </c>
    </row>
    <row r="19" spans="1:26" ht="18" customHeight="1"/>
    <row r="20" spans="1:26" ht="18" customHeight="1">
      <c r="A20" s="14" t="s">
        <v>39</v>
      </c>
    </row>
    <row r="21" spans="1:26" ht="18" customHeight="1">
      <c r="B21" s="18" t="s">
        <v>2</v>
      </c>
      <c r="C21" s="18">
        <f t="shared" ref="C21:Z21" si="3">C14</f>
        <v>17</v>
      </c>
      <c r="D21" s="18">
        <f t="shared" si="3"/>
        <v>34</v>
      </c>
      <c r="E21" s="18">
        <f t="shared" si="3"/>
        <v>51</v>
      </c>
      <c r="F21" s="18">
        <f t="shared" si="3"/>
        <v>68</v>
      </c>
      <c r="G21" s="18">
        <f t="shared" si="3"/>
        <v>85</v>
      </c>
      <c r="H21" s="18">
        <f t="shared" si="3"/>
        <v>102</v>
      </c>
      <c r="I21" s="18">
        <f t="shared" si="3"/>
        <v>119</v>
      </c>
      <c r="J21" s="18">
        <f t="shared" si="3"/>
        <v>136</v>
      </c>
      <c r="K21" s="18">
        <f t="shared" si="3"/>
        <v>153</v>
      </c>
      <c r="L21" s="18">
        <f t="shared" si="3"/>
        <v>170</v>
      </c>
      <c r="M21" s="18">
        <f t="shared" si="3"/>
        <v>187</v>
      </c>
      <c r="N21" s="18">
        <f t="shared" si="3"/>
        <v>204</v>
      </c>
      <c r="O21" s="18">
        <f t="shared" si="3"/>
        <v>221</v>
      </c>
      <c r="P21" s="18">
        <f t="shared" si="3"/>
        <v>238</v>
      </c>
      <c r="Q21" s="18">
        <f t="shared" si="3"/>
        <v>255</v>
      </c>
      <c r="R21" s="18">
        <f t="shared" si="3"/>
        <v>272</v>
      </c>
      <c r="S21" s="18">
        <f t="shared" si="3"/>
        <v>289</v>
      </c>
      <c r="T21" s="18">
        <f t="shared" si="3"/>
        <v>306</v>
      </c>
      <c r="U21" s="18">
        <f t="shared" si="3"/>
        <v>323</v>
      </c>
      <c r="V21" s="18">
        <f t="shared" si="3"/>
        <v>340</v>
      </c>
      <c r="W21" s="18">
        <f t="shared" si="3"/>
        <v>357</v>
      </c>
      <c r="X21" s="18">
        <f t="shared" si="3"/>
        <v>374</v>
      </c>
      <c r="Y21" s="18">
        <f t="shared" si="3"/>
        <v>391</v>
      </c>
      <c r="Z21" s="18">
        <f t="shared" si="3"/>
        <v>408</v>
      </c>
    </row>
    <row r="22" spans="1:26" ht="18" customHeight="1">
      <c r="B22" s="10" t="s">
        <v>73</v>
      </c>
      <c r="C22" s="21">
        <f>C15*$B$5</f>
        <v>10.098837209302321</v>
      </c>
      <c r="D22" s="21">
        <f>D15*$B$5+$B$10*SUM($C15:C15)</f>
        <v>13.595930232558139</v>
      </c>
      <c r="E22" s="21">
        <f>E15*$B$5+$B$10*SUM($C15:D15)</f>
        <v>17.136627906976749</v>
      </c>
      <c r="F22" s="21">
        <f>F15*$B$5+$B$10*SUM($C15:E15)</f>
        <v>22.965116279069754</v>
      </c>
      <c r="G22" s="21">
        <f>G15*$B$5+$B$10*SUM($C15:F15)</f>
        <v>26.622093023255804</v>
      </c>
      <c r="H22" s="21">
        <f>H15*$B$5+$B$10*SUM($C15:G15)</f>
        <v>28.078488372093016</v>
      </c>
      <c r="I22" s="21">
        <f>I15*$B$5+$B$10*SUM($C15:H15)</f>
        <v>31.793604651162788</v>
      </c>
      <c r="J22" s="21">
        <f>J15*$B$5+$B$10*SUM($C15:I15)</f>
        <v>33.308139534883715</v>
      </c>
      <c r="K22" s="21">
        <f>K15*$B$5+$B$10*SUM($C15:J15)</f>
        <v>35.95930232558139</v>
      </c>
      <c r="L22" s="21">
        <f>L15*$B$5+$B$10*SUM($C15:K15)</f>
        <v>37.517441860465119</v>
      </c>
      <c r="M22" s="21">
        <f>M15*$B$5+$B$10*SUM($C15:L15)</f>
        <v>40.212209302325583</v>
      </c>
      <c r="N22" s="21">
        <f>N15*$B$5+$B$10*SUM($C15:M15)</f>
        <v>42.936046511627893</v>
      </c>
      <c r="O22" s="21">
        <f>O15*$B$5+$B$10*SUM($C15:N15)</f>
        <v>46.811046511627893</v>
      </c>
      <c r="P22" s="21">
        <f>P15*$B$5+$B$10*SUM($C15:O15)</f>
        <v>51.85174418604651</v>
      </c>
      <c r="Q22" s="21">
        <f>Q15*$B$5+$B$10*SUM($C15:P15)</f>
        <v>69.293604651162781</v>
      </c>
      <c r="R22" s="21">
        <f>R15*$B$5+$B$10*SUM($C15:Q15)</f>
        <v>54.412790697674417</v>
      </c>
      <c r="S22" s="21">
        <f>S15*$B$5+$B$10*SUM($C15:R15)</f>
        <v>56.159883720930225</v>
      </c>
      <c r="T22" s="21">
        <f>T15*$B$5+$B$10*SUM($C15:S15)</f>
        <v>60.16569767441861</v>
      </c>
      <c r="U22" s="21">
        <f>U15*$B$5+$B$10*SUM($C15:T15)</f>
        <v>59.72674418604651</v>
      </c>
      <c r="V22" s="21">
        <f>V15*$B$5+$B$10*SUM($C15:U15)</f>
        <v>64.883720930232542</v>
      </c>
      <c r="W22" s="21">
        <f>W15*$B$5+$B$10*SUM($C15:V15)</f>
        <v>76.831395348837205</v>
      </c>
      <c r="X22" s="21">
        <f>X15*$B$5+$B$10*SUM($C15:W15)</f>
        <v>68.726744186046503</v>
      </c>
      <c r="Y22" s="21">
        <f>Y15*$B$5+$B$10*SUM($C15:X15)</f>
        <v>72.848837209302317</v>
      </c>
      <c r="Z22" s="21">
        <f>Z15*$B$5+$B$10*SUM($C15:Y15)</f>
        <v>74.770348837209298</v>
      </c>
    </row>
    <row r="23" spans="1:26" ht="18" customHeight="1">
      <c r="B23" s="10" t="s">
        <v>74</v>
      </c>
      <c r="C23" s="21">
        <f>C16*$B$6</f>
        <v>26.343023255813943</v>
      </c>
      <c r="D23" s="21">
        <f>D16*$B$5+$B$10*SUM($C16:C16)</f>
        <v>26.142441860465105</v>
      </c>
      <c r="E23" s="21">
        <f>E16*$B$6+$B$10*SUM($C16:D16)</f>
        <v>23.575581395348824</v>
      </c>
      <c r="F23" s="21">
        <f>F16*$B$6+$B$10*SUM($C16:E16)</f>
        <v>21.575581395348838</v>
      </c>
      <c r="G23" s="21">
        <f>G16*$B$6+$B$10*SUM($C16:F16)</f>
        <v>28.709302325581387</v>
      </c>
      <c r="H23" s="21">
        <f>H16*$B$6+$B$10*SUM($C16:G16)</f>
        <v>32.494186046511622</v>
      </c>
      <c r="I23" s="21">
        <f>I16*$B$6+$B$10*SUM($C16:H16)</f>
        <v>34.031976744186039</v>
      </c>
      <c r="J23" s="21">
        <f>J16*$B$6+$B$10*SUM($C16:I16)</f>
        <v>39.020348837209305</v>
      </c>
      <c r="K23" s="21">
        <f>K16*$B$6+$B$10*SUM($C16:J16)</f>
        <v>40.630813953488378</v>
      </c>
      <c r="L23" s="21">
        <f>L16*$B$6+$B$10*SUM($C16:K16)</f>
        <v>42.255813953488357</v>
      </c>
      <c r="M23" s="21">
        <f>M16*$B$6+$B$10*SUM($C16:L16)</f>
        <v>46.186046511627893</v>
      </c>
      <c r="N23" s="21">
        <f>N16*$B$6+$B$10*SUM($C16:M16)</f>
        <v>49.01453488372092</v>
      </c>
      <c r="O23" s="21">
        <f>O16*$B$6+$B$10*SUM($C16:N16)</f>
        <v>56.453488372093013</v>
      </c>
      <c r="P23" s="21">
        <f>P16*$B$6+$B$10*SUM($C16:O16)</f>
        <v>47.944767441860449</v>
      </c>
      <c r="Q23" s="21">
        <f>Q16*$B$6+$B$10*SUM($C16:P16)</f>
        <v>58.790697674418595</v>
      </c>
      <c r="R23" s="21">
        <f>R16*$B$6+$B$10*SUM($C16:Q16)</f>
        <v>60.604651162790695</v>
      </c>
      <c r="S23" s="21">
        <f>S16*$B$6+$B$10*SUM($C16:R16)</f>
        <v>62.433139534883722</v>
      </c>
      <c r="T23" s="21">
        <f>T16*$B$6+$B$10*SUM($C16:S16)</f>
        <v>63.130813953488371</v>
      </c>
      <c r="U23" s="21">
        <f>U16*$B$6+$B$10*SUM($C16:T16)</f>
        <v>67.264534883720927</v>
      </c>
      <c r="V23" s="21">
        <f>V16*$B$6+$B$10*SUM($C16:U16)</f>
        <v>72.587209302325562</v>
      </c>
      <c r="W23" s="21">
        <f>W16*$B$6+$B$10*SUM($C16:V16)</f>
        <v>77.968023255813947</v>
      </c>
      <c r="X23" s="21">
        <f>X16*$B$6+$B$10*SUM($C16:W16)</f>
        <v>76.534883720930225</v>
      </c>
      <c r="Y23" s="21">
        <f>Y16*$B$6+$B$10*SUM($C16:X16)</f>
        <v>78.508720930232542</v>
      </c>
      <c r="Z23" s="21">
        <f>Z16*$B$6+$B$10*SUM($C16:Y16)</f>
        <v>81.642441860465112</v>
      </c>
    </row>
    <row r="24" spans="1:26" ht="18" customHeight="1">
      <c r="B24" s="10" t="s">
        <v>75</v>
      </c>
      <c r="C24" s="21">
        <f>C17*$B$7</f>
        <v>10.203488372093018</v>
      </c>
      <c r="D24" s="21">
        <f>D17*$B$5+$B$10*SUM($C17:C17)</f>
        <v>10.229651162790693</v>
      </c>
      <c r="E24" s="21">
        <f>E17*$B$7+$B$10*SUM($C17:D17)</f>
        <v>16.13372093023256</v>
      </c>
      <c r="F24" s="21">
        <f>F17*$B$7+$B$10*SUM($C17:E17)</f>
        <v>19.738372093023258</v>
      </c>
      <c r="G24" s="21">
        <f>G17*$B$7+$B$10*SUM($C17:F17)</f>
        <v>23.386627906976734</v>
      </c>
      <c r="H24" s="21">
        <f>H17*$B$7+$B$10*SUM($C17:G17)</f>
        <v>25.944767441860456</v>
      </c>
      <c r="I24" s="21">
        <f>I17*$B$7+$B$10*SUM($C17:H17)</f>
        <v>28.531976744186039</v>
      </c>
      <c r="J24" s="21">
        <f>J17*$B$7+$B$10*SUM($C17:I17)</f>
        <v>31.148255813953483</v>
      </c>
      <c r="K24" s="21">
        <f>K17*$B$7+$B$10*SUM($C17:J17)</f>
        <v>29.258720930232549</v>
      </c>
      <c r="L24" s="21">
        <f>L17*$B$7+$B$10*SUM($C17:K17)</f>
        <v>36.409883720930232</v>
      </c>
      <c r="M24" s="21">
        <f>M17*$B$7+$B$10*SUM($C17:L17)</f>
        <v>36.845930232558139</v>
      </c>
      <c r="N24" s="21">
        <f>N17*$B$7+$B$10*SUM($C17:M17)</f>
        <v>38.41569767441861</v>
      </c>
      <c r="O24" s="21">
        <f>O17*$B$7+$B$10*SUM($C17:N17)</f>
        <v>43.401162790697661</v>
      </c>
      <c r="P24" s="21">
        <f>P17*$B$7+$B$10*SUM($C17:O17)</f>
        <v>46.177325581395337</v>
      </c>
      <c r="Q24" s="21">
        <f>Q17*$B$7+$B$10*SUM($C17:P17)</f>
        <v>50.11627906976743</v>
      </c>
      <c r="R24" s="21">
        <f>R17*$B$7+$B$10*SUM($C17:Q17)</f>
        <v>50.697674418604642</v>
      </c>
      <c r="S24" s="21">
        <f>S17*$B$7+$B$10*SUM($C17:R17)</f>
        <v>53.546511627906973</v>
      </c>
      <c r="T24" s="21">
        <f>T17*$B$7+$B$10*SUM($C17:S17)</f>
        <v>56.424418604651152</v>
      </c>
      <c r="U24" s="21">
        <f>U17*$B$7+$B$10*SUM($C17:T17)</f>
        <v>59.331395348837205</v>
      </c>
      <c r="V24" s="21">
        <f>V17*$B$7+$B$10*SUM($C17:U17)</f>
        <v>62.267441860465119</v>
      </c>
      <c r="W24" s="21">
        <f>W17*$B$7+$B$10*SUM($C17:V17)</f>
        <v>64.098837209302332</v>
      </c>
      <c r="X24" s="21">
        <f>X17*$B$7+$B$10*SUM($C17:W17)</f>
        <v>70.479651162790688</v>
      </c>
      <c r="Y24" s="21">
        <f>Y17*$B$7+$B$10*SUM($C17:X17)</f>
        <v>72.398255813953483</v>
      </c>
      <c r="Z24" s="21">
        <f>Z17*$B$7+$B$10*SUM($C17:Y17)</f>
        <v>74.331395348837191</v>
      </c>
    </row>
    <row r="25" spans="1:26" ht="18" customHeight="1">
      <c r="B25" s="10" t="s">
        <v>76</v>
      </c>
      <c r="C25" s="21">
        <f>C18*$B$8</f>
        <v>12.610465116279064</v>
      </c>
      <c r="D25" s="21">
        <f>D18*$B$5+$B$10*SUM($C18:C18)</f>
        <v>10.229651162790693</v>
      </c>
      <c r="E25" s="21">
        <f>E18*$B$8+$B$10*SUM($C18:D18)</f>
        <v>17.075581395348838</v>
      </c>
      <c r="F25" s="21">
        <f>F18*$B$8+$B$10*SUM($C18:E18)</f>
        <v>18.651162790697676</v>
      </c>
      <c r="G25" s="21">
        <f>G18*$B$8+$B$10*SUM($C18:F18)</f>
        <v>21.642441860465119</v>
      </c>
      <c r="H25" s="21">
        <f>H18*$B$8+$B$10*SUM($C18:G18)</f>
        <v>24.662790697674421</v>
      </c>
      <c r="I25" s="21">
        <f>I18*$B$8+$B$10*SUM($C18:H18)</f>
        <v>29.113372093023244</v>
      </c>
      <c r="J25" s="21">
        <f>J18*$B$8+$B$10*SUM($C18:I18)</f>
        <v>29.404069767441847</v>
      </c>
      <c r="K25" s="21">
        <f>K18*$B$8+$B$10*SUM($C18:J18)</f>
        <v>31.095930232558128</v>
      </c>
      <c r="L25" s="21">
        <f>L18*$B$8+$B$10*SUM($C18:K18)</f>
        <v>34.203488372093013</v>
      </c>
      <c r="M25" s="21"/>
      <c r="N25" s="21">
        <f>N18*$B$8+$B$10*SUM($C18:M18)</f>
        <v>42.944767441860463</v>
      </c>
      <c r="O25" s="21">
        <f>O18*$B$8+$B$10*SUM($C18:N18)</f>
        <v>41.965116279069761</v>
      </c>
      <c r="P25" s="21">
        <f>P18*$B$8+$B$10*SUM($C18:O18)</f>
        <v>47.97674418604651</v>
      </c>
      <c r="Q25" s="21">
        <f>Q18*$B$8+$B$10*SUM($C18:P18)</f>
        <v>45.639534883720927</v>
      </c>
      <c r="R25" s="21">
        <f>R18*$B$8+$B$10*SUM($C18:Q18)</f>
        <v>46.075581395348834</v>
      </c>
      <c r="S25" s="21">
        <f>S18*$B$8+$B$10*SUM($C18:R18)</f>
        <v>50.715116279069768</v>
      </c>
      <c r="T25" s="21">
        <f>T18*$B$8+$B$10*SUM($C18:S18)</f>
        <v>52.595930232558125</v>
      </c>
      <c r="U25" s="21">
        <f>U18*$B$8+$B$10*SUM($C18:T18)</f>
        <v>54.491279069767423</v>
      </c>
      <c r="V25" s="21">
        <f>V18*$B$8+$B$10*SUM($C18:U18)</f>
        <v>57.802325581395337</v>
      </c>
      <c r="W25" s="21">
        <f>W18*$B$8+$B$10*SUM($C18:V18)</f>
        <v>59.741279069767437</v>
      </c>
      <c r="X25" s="21">
        <f>X18*$B$8+$B$10*SUM($C18:W18)</f>
        <v>63.095930232558132</v>
      </c>
      <c r="Y25" s="21">
        <f>Y18*$B$8+$B$10*SUM($C18:X18)</f>
        <v>65.07848837209302</v>
      </c>
      <c r="Z25" s="21">
        <f>Z18*$B$8+$B$10*SUM($C18:Y18)</f>
        <v>67.075581395348834</v>
      </c>
    </row>
    <row r="26" spans="1:26" ht="18" customHeight="1">
      <c r="B26" s="19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8" customHeight="1"/>
    <row r="28" spans="1:26" ht="18" customHeight="1">
      <c r="A28" s="14" t="s">
        <v>40</v>
      </c>
    </row>
    <row r="29" spans="1:26" ht="18" customHeight="1">
      <c r="B29" s="18" t="s">
        <v>2</v>
      </c>
      <c r="C29" s="18">
        <f t="shared" ref="C29:Z29" si="4">C14</f>
        <v>17</v>
      </c>
      <c r="D29" s="18">
        <f t="shared" si="4"/>
        <v>34</v>
      </c>
      <c r="E29" s="18">
        <f t="shared" si="4"/>
        <v>51</v>
      </c>
      <c r="F29" s="18">
        <f t="shared" si="4"/>
        <v>68</v>
      </c>
      <c r="G29" s="18">
        <f t="shared" si="4"/>
        <v>85</v>
      </c>
      <c r="H29" s="18">
        <f t="shared" si="4"/>
        <v>102</v>
      </c>
      <c r="I29" s="18">
        <f t="shared" si="4"/>
        <v>119</v>
      </c>
      <c r="J29" s="18">
        <f t="shared" si="4"/>
        <v>136</v>
      </c>
      <c r="K29" s="18">
        <f t="shared" si="4"/>
        <v>153</v>
      </c>
      <c r="L29" s="18">
        <f t="shared" si="4"/>
        <v>170</v>
      </c>
      <c r="M29" s="18">
        <f t="shared" si="4"/>
        <v>187</v>
      </c>
      <c r="N29" s="18">
        <f t="shared" si="4"/>
        <v>204</v>
      </c>
      <c r="O29" s="18">
        <f t="shared" si="4"/>
        <v>221</v>
      </c>
      <c r="P29" s="18">
        <f t="shared" si="4"/>
        <v>238</v>
      </c>
      <c r="Q29" s="18">
        <f t="shared" si="4"/>
        <v>255</v>
      </c>
      <c r="R29" s="18">
        <f t="shared" si="4"/>
        <v>272</v>
      </c>
      <c r="S29" s="18">
        <f t="shared" si="4"/>
        <v>289</v>
      </c>
      <c r="T29" s="18">
        <f t="shared" si="4"/>
        <v>306</v>
      </c>
      <c r="U29" s="18">
        <f t="shared" si="4"/>
        <v>323</v>
      </c>
      <c r="V29" s="18">
        <f t="shared" si="4"/>
        <v>340</v>
      </c>
      <c r="W29" s="18">
        <f t="shared" si="4"/>
        <v>357</v>
      </c>
      <c r="X29" s="18">
        <f t="shared" si="4"/>
        <v>374</v>
      </c>
      <c r="Y29" s="18">
        <f t="shared" si="4"/>
        <v>391</v>
      </c>
      <c r="Z29" s="18">
        <f t="shared" si="4"/>
        <v>408</v>
      </c>
    </row>
    <row r="30" spans="1:26" ht="18" customHeight="1">
      <c r="B30" s="10" t="s">
        <v>73</v>
      </c>
      <c r="C30" s="22">
        <f t="shared" ref="C30:R30" si="5">C22/$B$11*100</f>
        <v>4.0395348837209282</v>
      </c>
      <c r="D30" s="22">
        <f t="shared" si="5"/>
        <v>5.4383720930232551</v>
      </c>
      <c r="E30" s="22">
        <f t="shared" si="5"/>
        <v>6.8546511627906996</v>
      </c>
      <c r="F30" s="22">
        <f t="shared" si="5"/>
        <v>9.186046511627902</v>
      </c>
      <c r="G30" s="22">
        <f t="shared" si="5"/>
        <v>10.648837209302322</v>
      </c>
      <c r="H30" s="22">
        <f t="shared" si="5"/>
        <v>11.231395348837205</v>
      </c>
      <c r="I30" s="22">
        <f t="shared" si="5"/>
        <v>12.717441860465115</v>
      </c>
      <c r="J30" s="22">
        <f t="shared" si="5"/>
        <v>13.323255813953486</v>
      </c>
      <c r="K30" s="22">
        <f t="shared" si="5"/>
        <v>14.383720930232558</v>
      </c>
      <c r="L30" s="22">
        <f t="shared" si="5"/>
        <v>15.006976744186048</v>
      </c>
      <c r="M30" s="22">
        <f t="shared" si="5"/>
        <v>16.084883720930232</v>
      </c>
      <c r="N30" s="22">
        <f t="shared" si="5"/>
        <v>17.174418604651155</v>
      </c>
      <c r="O30" s="22">
        <f t="shared" si="5"/>
        <v>18.724418604651159</v>
      </c>
      <c r="P30" s="22">
        <f t="shared" si="5"/>
        <v>20.740697674418605</v>
      </c>
      <c r="Q30" s="22">
        <f t="shared" si="5"/>
        <v>27.717441860465115</v>
      </c>
      <c r="R30" s="22">
        <f t="shared" si="5"/>
        <v>21.765116279069765</v>
      </c>
      <c r="S30" s="22">
        <f t="shared" ref="S30:W30" si="6">S22/$B$11*100</f>
        <v>22.463953488372091</v>
      </c>
      <c r="T30" s="22">
        <f t="shared" si="6"/>
        <v>24.066279069767443</v>
      </c>
      <c r="U30" s="22">
        <f t="shared" si="6"/>
        <v>23.890697674418604</v>
      </c>
      <c r="V30" s="22">
        <f t="shared" si="6"/>
        <v>25.953488372093013</v>
      </c>
      <c r="W30" s="22">
        <f t="shared" si="6"/>
        <v>30.732558139534881</v>
      </c>
      <c r="X30" s="22">
        <f t="shared" ref="X30:Z30" si="7">X22/$B$11*100</f>
        <v>27.490697674418602</v>
      </c>
      <c r="Y30" s="22">
        <f t="shared" si="7"/>
        <v>29.139534883720923</v>
      </c>
      <c r="Z30" s="22">
        <f t="shared" si="7"/>
        <v>29.90813953488372</v>
      </c>
    </row>
    <row r="31" spans="1:26" ht="18" customHeight="1">
      <c r="B31" s="10" t="s">
        <v>74</v>
      </c>
      <c r="C31" s="22">
        <f t="shared" ref="C31:R33" si="8">C23/$B$11*100</f>
        <v>10.537209302325577</v>
      </c>
      <c r="D31" s="22">
        <f t="shared" si="8"/>
        <v>10.456976744186042</v>
      </c>
      <c r="E31" s="22">
        <f t="shared" si="8"/>
        <v>9.4302325581395294</v>
      </c>
      <c r="F31" s="22">
        <f t="shared" si="8"/>
        <v>8.630232558139534</v>
      </c>
      <c r="G31" s="22">
        <f t="shared" si="8"/>
        <v>11.483720930232554</v>
      </c>
      <c r="H31" s="22">
        <f t="shared" si="8"/>
        <v>12.99767441860465</v>
      </c>
      <c r="I31" s="22">
        <f t="shared" si="8"/>
        <v>13.612790697674415</v>
      </c>
      <c r="J31" s="22">
        <f t="shared" si="8"/>
        <v>15.608139534883723</v>
      </c>
      <c r="K31" s="22">
        <f t="shared" si="8"/>
        <v>16.25232558139535</v>
      </c>
      <c r="L31" s="22">
        <f t="shared" si="8"/>
        <v>16.902325581395342</v>
      </c>
      <c r="M31" s="22">
        <f t="shared" si="8"/>
        <v>18.474418604651159</v>
      </c>
      <c r="N31" s="22">
        <f t="shared" si="8"/>
        <v>19.605813953488369</v>
      </c>
      <c r="O31" s="22">
        <f t="shared" si="8"/>
        <v>22.581395348837205</v>
      </c>
      <c r="P31" s="22">
        <f t="shared" si="8"/>
        <v>19.177906976744179</v>
      </c>
      <c r="Q31" s="22">
        <f t="shared" si="8"/>
        <v>23.516279069767439</v>
      </c>
      <c r="R31" s="22">
        <f t="shared" si="8"/>
        <v>24.241860465116279</v>
      </c>
      <c r="S31" s="22">
        <f t="shared" ref="S31:W31" si="9">S23/$B$11*100</f>
        <v>24.973255813953486</v>
      </c>
      <c r="T31" s="22">
        <f t="shared" si="9"/>
        <v>25.252325581395347</v>
      </c>
      <c r="U31" s="22">
        <f t="shared" si="9"/>
        <v>26.905813953488373</v>
      </c>
      <c r="V31" s="22">
        <f t="shared" si="9"/>
        <v>29.034883720930228</v>
      </c>
      <c r="W31" s="22">
        <f t="shared" si="9"/>
        <v>31.187209302325581</v>
      </c>
      <c r="X31" s="22">
        <f t="shared" ref="X31:Z31" si="10">X23/$B$11*100</f>
        <v>30.613953488372093</v>
      </c>
      <c r="Y31" s="22">
        <f t="shared" si="10"/>
        <v>31.403488372093019</v>
      </c>
      <c r="Z31" s="22">
        <f t="shared" si="10"/>
        <v>32.656976744186046</v>
      </c>
    </row>
    <row r="32" spans="1:26" ht="18" customHeight="1">
      <c r="B32" s="10" t="s">
        <v>75</v>
      </c>
      <c r="C32" s="22">
        <f t="shared" si="8"/>
        <v>4.0813953488372068</v>
      </c>
      <c r="D32" s="22">
        <f t="shared" ref="D32:Z32" si="11">D24/$B$11*100</f>
        <v>4.0918604651162775</v>
      </c>
      <c r="E32" s="22">
        <f t="shared" si="11"/>
        <v>6.4534883720930232</v>
      </c>
      <c r="F32" s="22">
        <f t="shared" si="11"/>
        <v>7.8953488372093039</v>
      </c>
      <c r="G32" s="22">
        <f t="shared" si="11"/>
        <v>9.3546511627906934</v>
      </c>
      <c r="H32" s="22">
        <f t="shared" si="11"/>
        <v>10.377906976744182</v>
      </c>
      <c r="I32" s="22">
        <f t="shared" si="11"/>
        <v>11.412790697674415</v>
      </c>
      <c r="J32" s="22">
        <f t="shared" si="11"/>
        <v>12.459302325581394</v>
      </c>
      <c r="K32" s="22">
        <f t="shared" si="11"/>
        <v>11.70348837209302</v>
      </c>
      <c r="L32" s="22">
        <f t="shared" si="11"/>
        <v>14.563953488372091</v>
      </c>
      <c r="M32" s="22">
        <f t="shared" si="11"/>
        <v>14.738372093023255</v>
      </c>
      <c r="N32" s="22">
        <f t="shared" si="11"/>
        <v>15.366279069767444</v>
      </c>
      <c r="O32" s="22">
        <f t="shared" si="11"/>
        <v>17.360465116279062</v>
      </c>
      <c r="P32" s="22">
        <f t="shared" si="11"/>
        <v>18.470930232558135</v>
      </c>
      <c r="Q32" s="22">
        <f t="shared" si="11"/>
        <v>20.04651162790697</v>
      </c>
      <c r="R32" s="22">
        <f t="shared" si="11"/>
        <v>20.279069767441857</v>
      </c>
      <c r="S32" s="22">
        <f t="shared" si="11"/>
        <v>21.418604651162791</v>
      </c>
      <c r="T32" s="22">
        <f t="shared" si="11"/>
        <v>22.56976744186046</v>
      </c>
      <c r="U32" s="22">
        <f t="shared" si="11"/>
        <v>23.732558139534881</v>
      </c>
      <c r="V32" s="22">
        <f t="shared" si="11"/>
        <v>24.90697674418605</v>
      </c>
      <c r="W32" s="22">
        <f t="shared" si="11"/>
        <v>25.639534883720934</v>
      </c>
      <c r="X32" s="22">
        <f t="shared" si="11"/>
        <v>28.191860465116275</v>
      </c>
      <c r="Y32" s="22">
        <f t="shared" si="11"/>
        <v>28.959302325581394</v>
      </c>
      <c r="Z32" s="22">
        <f t="shared" si="11"/>
        <v>29.732558139534877</v>
      </c>
    </row>
    <row r="33" spans="1:26" ht="18" customHeight="1">
      <c r="B33" s="10" t="s">
        <v>76</v>
      </c>
      <c r="C33" s="22">
        <f t="shared" si="8"/>
        <v>5.0441860465116255</v>
      </c>
      <c r="D33" s="22">
        <f t="shared" ref="D33:Z33" si="12">D25/$B$11*100</f>
        <v>4.0918604651162775</v>
      </c>
      <c r="E33" s="22">
        <f t="shared" si="12"/>
        <v>6.8302325581395342</v>
      </c>
      <c r="F33" s="22">
        <f t="shared" si="12"/>
        <v>7.4604651162790709</v>
      </c>
      <c r="G33" s="22">
        <f t="shared" si="12"/>
        <v>8.6569767441860481</v>
      </c>
      <c r="H33" s="22">
        <f t="shared" si="12"/>
        <v>9.8651162790697686</v>
      </c>
      <c r="I33" s="22">
        <f t="shared" si="12"/>
        <v>11.645348837209298</v>
      </c>
      <c r="J33" s="22">
        <f t="shared" si="12"/>
        <v>11.76162790697674</v>
      </c>
      <c r="K33" s="22">
        <f t="shared" si="12"/>
        <v>12.438372093023252</v>
      </c>
      <c r="L33" s="22">
        <f t="shared" si="12"/>
        <v>13.681395348837205</v>
      </c>
      <c r="M33" s="22"/>
      <c r="N33" s="22">
        <f t="shared" si="12"/>
        <v>17.177906976744186</v>
      </c>
      <c r="O33" s="22">
        <f t="shared" si="12"/>
        <v>16.786046511627905</v>
      </c>
      <c r="P33" s="22">
        <f t="shared" si="12"/>
        <v>19.190697674418605</v>
      </c>
      <c r="Q33" s="22">
        <f t="shared" si="12"/>
        <v>18.255813953488371</v>
      </c>
      <c r="R33" s="22">
        <f t="shared" si="12"/>
        <v>18.430232558139533</v>
      </c>
      <c r="S33" s="22">
        <f t="shared" si="12"/>
        <v>20.286046511627905</v>
      </c>
      <c r="T33" s="22">
        <f t="shared" si="12"/>
        <v>21.038372093023249</v>
      </c>
      <c r="U33" s="22">
        <f t="shared" si="12"/>
        <v>21.79651162790697</v>
      </c>
      <c r="V33" s="22">
        <f t="shared" si="12"/>
        <v>23.120930232558134</v>
      </c>
      <c r="W33" s="22">
        <f t="shared" si="12"/>
        <v>23.896511627906975</v>
      </c>
      <c r="X33" s="22">
        <f t="shared" si="12"/>
        <v>25.238372093023255</v>
      </c>
      <c r="Y33" s="22">
        <f t="shared" si="12"/>
        <v>26.031395348837204</v>
      </c>
      <c r="Z33" s="22">
        <f t="shared" si="12"/>
        <v>26.830232558139532</v>
      </c>
    </row>
    <row r="34" spans="1:26" ht="18" customHeight="1">
      <c r="B34" s="1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8" customHeight="1"/>
    <row r="36" spans="1:26" ht="18" customHeight="1">
      <c r="A36" s="13" t="s">
        <v>42</v>
      </c>
      <c r="B36" s="13" t="s">
        <v>41</v>
      </c>
      <c r="C36" s="22">
        <f>AVERAGE(C30:C33)</f>
        <v>5.9255813953488339</v>
      </c>
      <c r="D36" s="22">
        <f t="shared" ref="D36:Z36" si="13">AVERAGE(D30:D33)</f>
        <v>6.0197674418604628</v>
      </c>
      <c r="E36" s="22">
        <f t="shared" si="13"/>
        <v>7.3921511627906966</v>
      </c>
      <c r="F36" s="22">
        <f t="shared" si="13"/>
        <v>8.2930232558139529</v>
      </c>
      <c r="G36" s="22">
        <f t="shared" si="13"/>
        <v>10.036046511627903</v>
      </c>
      <c r="H36" s="22">
        <f t="shared" si="13"/>
        <v>11.118023255813952</v>
      </c>
      <c r="I36" s="22">
        <f t="shared" si="13"/>
        <v>12.347093023255811</v>
      </c>
      <c r="J36" s="22">
        <f t="shared" si="13"/>
        <v>13.288081395348836</v>
      </c>
      <c r="K36" s="22">
        <f t="shared" si="13"/>
        <v>13.694476744186046</v>
      </c>
      <c r="L36" s="22">
        <f t="shared" si="13"/>
        <v>15.038662790697671</v>
      </c>
      <c r="M36" s="22">
        <f t="shared" si="13"/>
        <v>16.43255813953488</v>
      </c>
      <c r="N36" s="22">
        <f t="shared" si="13"/>
        <v>17.331104651162789</v>
      </c>
      <c r="O36" s="22">
        <f t="shared" si="13"/>
        <v>18.863081395348832</v>
      </c>
      <c r="P36" s="22">
        <f t="shared" si="13"/>
        <v>19.395058139534878</v>
      </c>
      <c r="Q36" s="22">
        <f t="shared" si="13"/>
        <v>22.384011627906972</v>
      </c>
      <c r="R36" s="22">
        <f t="shared" si="13"/>
        <v>21.17906976744186</v>
      </c>
      <c r="S36" s="22">
        <f t="shared" si="13"/>
        <v>22.285465116279067</v>
      </c>
      <c r="T36" s="22">
        <f t="shared" si="13"/>
        <v>23.231686046511626</v>
      </c>
      <c r="U36" s="22">
        <f t="shared" si="13"/>
        <v>24.081395348837205</v>
      </c>
      <c r="V36" s="22">
        <f t="shared" si="13"/>
        <v>25.754069767441859</v>
      </c>
      <c r="W36" s="22">
        <f t="shared" si="13"/>
        <v>27.863953488372093</v>
      </c>
      <c r="X36" s="22">
        <f t="shared" si="13"/>
        <v>27.883720930232556</v>
      </c>
      <c r="Y36" s="22">
        <f t="shared" si="13"/>
        <v>28.883430232558137</v>
      </c>
      <c r="Z36" s="22">
        <f t="shared" si="13"/>
        <v>29.781976744186043</v>
      </c>
    </row>
    <row r="37" spans="1:26" ht="18" customHeight="1">
      <c r="B37" s="13" t="s">
        <v>43</v>
      </c>
      <c r="C37" s="22">
        <f>STDEV(C30:C33)</f>
        <v>3.1092423156095195</v>
      </c>
      <c r="D37" s="22">
        <f t="shared" ref="D37:Z37" si="14">STDEV(D30:D33)</f>
        <v>3.0254750352218522</v>
      </c>
      <c r="E37" s="22">
        <f t="shared" si="14"/>
        <v>1.3710728617838521</v>
      </c>
      <c r="F37" s="22">
        <f t="shared" si="14"/>
        <v>0.76648519183734187</v>
      </c>
      <c r="G37" s="22">
        <f t="shared" si="14"/>
        <v>1.2698302650784714</v>
      </c>
      <c r="H37" s="22">
        <f t="shared" si="14"/>
        <v>1.3739832269931005</v>
      </c>
      <c r="I37" s="22">
        <f t="shared" si="14"/>
        <v>1.0172699744066358</v>
      </c>
      <c r="J37" s="22">
        <f t="shared" si="14"/>
        <v>1.6734039170897637</v>
      </c>
      <c r="K37" s="22">
        <f t="shared" si="14"/>
        <v>2.0460923581707511</v>
      </c>
      <c r="L37" s="22">
        <f t="shared" si="14"/>
        <v>1.3591378190386556</v>
      </c>
      <c r="M37" s="22">
        <f t="shared" si="14"/>
        <v>1.8921334546685178</v>
      </c>
      <c r="N37" s="22">
        <f t="shared" si="14"/>
        <v>1.7400059406039199</v>
      </c>
      <c r="O37" s="22">
        <f t="shared" si="14"/>
        <v>2.608768267244757</v>
      </c>
      <c r="P37" s="22">
        <f t="shared" si="14"/>
        <v>0.95806679890621427</v>
      </c>
      <c r="Q37" s="22">
        <f t="shared" si="14"/>
        <v>4.1726662097727445</v>
      </c>
      <c r="R37" s="22">
        <f t="shared" si="14"/>
        <v>2.455622349819369</v>
      </c>
      <c r="S37" s="22">
        <f t="shared" si="14"/>
        <v>2.0004331827618707</v>
      </c>
      <c r="T37" s="22">
        <f t="shared" si="14"/>
        <v>1.8283227269962075</v>
      </c>
      <c r="U37" s="22">
        <f t="shared" si="14"/>
        <v>2.1099831811410366</v>
      </c>
      <c r="V37" s="22">
        <f t="shared" si="14"/>
        <v>2.4802216552492062</v>
      </c>
      <c r="W37" s="22">
        <f t="shared" si="14"/>
        <v>3.6497285239013384</v>
      </c>
      <c r="X37" s="22">
        <f t="shared" si="14"/>
        <v>2.213704101321186</v>
      </c>
      <c r="Y37" s="22">
        <f t="shared" si="14"/>
        <v>2.2027363415718511</v>
      </c>
      <c r="Z37" s="22">
        <f t="shared" si="14"/>
        <v>2.380250546203186</v>
      </c>
    </row>
    <row r="38" spans="1:26" ht="18" customHeight="1">
      <c r="B38" s="13" t="s">
        <v>44</v>
      </c>
      <c r="C38" s="22">
        <f t="shared" ref="C38:R38" si="15">IFERROR(C37/C36*100,"")</f>
        <v>52.471514745372616</v>
      </c>
      <c r="D38" s="22">
        <f t="shared" si="15"/>
        <v>50.25900193723767</v>
      </c>
      <c r="E38" s="22">
        <f t="shared" si="15"/>
        <v>18.547684315295339</v>
      </c>
      <c r="F38" s="22">
        <f t="shared" si="15"/>
        <v>9.2425303558625078</v>
      </c>
      <c r="G38" s="22">
        <f t="shared" si="15"/>
        <v>12.652694102276513</v>
      </c>
      <c r="H38" s="22">
        <f t="shared" si="15"/>
        <v>12.35816111712667</v>
      </c>
      <c r="I38" s="22">
        <f t="shared" si="15"/>
        <v>8.2389431462985083</v>
      </c>
      <c r="J38" s="22">
        <f t="shared" si="15"/>
        <v>12.593269617354219</v>
      </c>
      <c r="K38" s="22">
        <f t="shared" si="15"/>
        <v>14.94100429240142</v>
      </c>
      <c r="L38" s="22">
        <f t="shared" si="15"/>
        <v>9.0376241422167212</v>
      </c>
      <c r="M38" s="22">
        <f t="shared" si="15"/>
        <v>11.51453984584578</v>
      </c>
      <c r="N38" s="22">
        <f t="shared" si="15"/>
        <v>10.039786705039475</v>
      </c>
      <c r="O38" s="22">
        <f t="shared" si="15"/>
        <v>13.830021790013664</v>
      </c>
      <c r="P38" s="22">
        <f t="shared" si="15"/>
        <v>4.9397469809760004</v>
      </c>
      <c r="Q38" s="22">
        <f t="shared" si="15"/>
        <v>18.641279673794166</v>
      </c>
      <c r="R38" s="22">
        <f t="shared" si="15"/>
        <v>11.594571323403192</v>
      </c>
      <c r="S38" s="22">
        <f t="shared" ref="S38:W38" si="16">IFERROR(S37/S36*100,"")</f>
        <v>8.9764031054509879</v>
      </c>
      <c r="T38" s="22">
        <f t="shared" si="16"/>
        <v>7.8699528021158889</v>
      </c>
      <c r="U38" s="22">
        <f t="shared" si="16"/>
        <v>8.7618809067179715</v>
      </c>
      <c r="V38" s="22">
        <f t="shared" si="16"/>
        <v>9.6304066799752466</v>
      </c>
      <c r="W38" s="22">
        <f t="shared" si="16"/>
        <v>13.098387224283901</v>
      </c>
      <c r="X38" s="22">
        <f t="shared" ref="X38:Z38" si="17">IFERROR(X37/X36*100,"")</f>
        <v>7.9390555760476236</v>
      </c>
      <c r="Y38" s="22">
        <f t="shared" si="17"/>
        <v>7.6262975825110644</v>
      </c>
      <c r="Z38" s="22">
        <f t="shared" si="17"/>
        <v>7.9922517119950811</v>
      </c>
    </row>
    <row r="39" spans="1:26" ht="15.75" customHeight="1"/>
    <row r="40" spans="1:26" ht="34.5" customHeight="1">
      <c r="A40" s="13" t="s">
        <v>45</v>
      </c>
      <c r="B40" s="35" t="s">
        <v>46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2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A1:X1"/>
    <mergeCell ref="A2:X2"/>
    <mergeCell ref="E10:X10"/>
    <mergeCell ref="E11:X11"/>
    <mergeCell ref="B40:X40"/>
  </mergeCell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0B68-6882-6647-8157-2C5777FAF933}">
  <dimension ref="B4:W29"/>
  <sheetViews>
    <sheetView workbookViewId="0">
      <selection activeCell="L60" sqref="L60"/>
    </sheetView>
  </sheetViews>
  <sheetFormatPr baseColWidth="10" defaultRowHeight="15"/>
  <sheetData>
    <row r="4" spans="2:17">
      <c r="B4" s="36" t="s">
        <v>52</v>
      </c>
      <c r="C4" s="36" t="s">
        <v>53</v>
      </c>
      <c r="D4" s="37" t="s">
        <v>59</v>
      </c>
      <c r="E4" s="37">
        <v>1</v>
      </c>
      <c r="F4" s="37">
        <v>2</v>
      </c>
      <c r="G4" s="37">
        <v>3</v>
      </c>
      <c r="H4" s="37" t="s">
        <v>60</v>
      </c>
      <c r="I4" s="37" t="s">
        <v>61</v>
      </c>
    </row>
    <row r="5" spans="2:17">
      <c r="B5" s="36" t="s">
        <v>1</v>
      </c>
      <c r="C5" s="36" t="s">
        <v>62</v>
      </c>
      <c r="D5" s="38">
        <v>50</v>
      </c>
      <c r="E5" s="36">
        <v>0.89700000000000002</v>
      </c>
      <c r="F5" s="36">
        <v>0.96599999999999997</v>
      </c>
      <c r="G5" s="36">
        <v>0.91</v>
      </c>
      <c r="H5" s="37">
        <f>AVERAGE(E5:G5)</f>
        <v>0.92433333333333334</v>
      </c>
      <c r="I5" s="38">
        <f>H5-$H$16</f>
        <v>0.87333333333333329</v>
      </c>
      <c r="K5" s="9"/>
      <c r="L5" s="9"/>
      <c r="M5" s="9"/>
      <c r="N5" s="9"/>
      <c r="O5" s="9"/>
      <c r="Q5" s="23"/>
    </row>
    <row r="6" spans="2:17">
      <c r="B6" s="36" t="s">
        <v>3</v>
      </c>
      <c r="C6" s="36" t="s">
        <v>63</v>
      </c>
      <c r="D6" s="38">
        <v>40</v>
      </c>
      <c r="E6" s="36">
        <v>0.72599999999999998</v>
      </c>
      <c r="F6" s="36">
        <v>0.73</v>
      </c>
      <c r="G6" s="36">
        <v>0.72899999999999998</v>
      </c>
      <c r="H6" s="37">
        <f t="shared" ref="H6:H16" si="0">AVERAGE(E6:G6)</f>
        <v>0.72833333333333339</v>
      </c>
      <c r="I6" s="38">
        <f t="shared" ref="I6:I16" si="1">H6-$H$16</f>
        <v>0.67733333333333334</v>
      </c>
      <c r="K6" s="9"/>
      <c r="L6" s="9"/>
      <c r="M6" s="9"/>
      <c r="N6" s="9"/>
      <c r="O6" s="9"/>
      <c r="Q6" s="23"/>
    </row>
    <row r="7" spans="2:17">
      <c r="B7" s="36" t="s">
        <v>4</v>
      </c>
      <c r="C7" s="36" t="s">
        <v>64</v>
      </c>
      <c r="D7" s="38">
        <v>30</v>
      </c>
      <c r="E7" s="36">
        <v>0.55900000000000005</v>
      </c>
      <c r="F7" s="36">
        <v>0.56200000000000006</v>
      </c>
      <c r="G7" s="36">
        <v>0.56000000000000005</v>
      </c>
      <c r="H7" s="37">
        <f t="shared" si="0"/>
        <v>0.56033333333333335</v>
      </c>
      <c r="I7" s="38">
        <f t="shared" si="1"/>
        <v>0.5093333333333333</v>
      </c>
      <c r="K7" s="9"/>
      <c r="L7" s="9"/>
      <c r="M7" s="9"/>
      <c r="N7" s="9"/>
      <c r="O7" s="9"/>
      <c r="Q7" s="23"/>
    </row>
    <row r="8" spans="2:17">
      <c r="B8" s="36" t="s">
        <v>5</v>
      </c>
      <c r="C8" s="36" t="s">
        <v>65</v>
      </c>
      <c r="D8" s="38">
        <v>25</v>
      </c>
      <c r="E8" s="36">
        <v>0.47399999999999998</v>
      </c>
      <c r="F8" s="36">
        <v>0.47799999999999998</v>
      </c>
      <c r="G8" s="36">
        <v>0.47199999999999998</v>
      </c>
      <c r="H8" s="37">
        <f t="shared" si="0"/>
        <v>0.47466666666666663</v>
      </c>
      <c r="I8" s="38">
        <f t="shared" si="1"/>
        <v>0.42366666666666664</v>
      </c>
      <c r="K8" s="9"/>
      <c r="L8" s="9"/>
      <c r="M8" s="9"/>
      <c r="N8" s="9"/>
      <c r="O8" s="9"/>
      <c r="Q8" s="23"/>
    </row>
    <row r="9" spans="2:17">
      <c r="B9" s="36" t="s">
        <v>6</v>
      </c>
      <c r="C9" s="36" t="s">
        <v>66</v>
      </c>
      <c r="D9" s="38">
        <v>20</v>
      </c>
      <c r="E9" s="36">
        <v>0.39200000000000002</v>
      </c>
      <c r="F9" s="36">
        <v>0.39700000000000002</v>
      </c>
      <c r="G9" s="36">
        <v>0.39300000000000002</v>
      </c>
      <c r="H9" s="37">
        <f t="shared" si="0"/>
        <v>0.39399999999999996</v>
      </c>
      <c r="I9" s="38">
        <f t="shared" si="1"/>
        <v>0.34299999999999997</v>
      </c>
      <c r="K9" s="9"/>
      <c r="L9" s="9"/>
      <c r="M9" s="9"/>
      <c r="N9" s="9"/>
      <c r="O9" s="9"/>
      <c r="Q9" s="23"/>
    </row>
    <row r="10" spans="2:17">
      <c r="B10" s="36" t="s">
        <v>7</v>
      </c>
      <c r="C10" s="36" t="s">
        <v>67</v>
      </c>
      <c r="D10" s="38">
        <v>15</v>
      </c>
      <c r="E10" s="36">
        <v>0.315</v>
      </c>
      <c r="F10" s="36">
        <v>0.32400000000000001</v>
      </c>
      <c r="G10" s="36">
        <v>0.31900000000000001</v>
      </c>
      <c r="H10" s="37">
        <f t="shared" si="0"/>
        <v>0.3193333333333333</v>
      </c>
      <c r="I10" s="38">
        <f t="shared" si="1"/>
        <v>0.26833333333333331</v>
      </c>
      <c r="K10" s="9"/>
      <c r="L10" s="9"/>
      <c r="M10" s="9"/>
      <c r="N10" s="9"/>
      <c r="O10" s="9"/>
      <c r="Q10" s="23"/>
    </row>
    <row r="11" spans="2:17">
      <c r="B11" s="36" t="s">
        <v>8</v>
      </c>
      <c r="C11" s="36" t="s">
        <v>68</v>
      </c>
      <c r="D11" s="38">
        <v>10</v>
      </c>
      <c r="E11" s="36">
        <v>0.22700000000000001</v>
      </c>
      <c r="F11" s="36">
        <v>0.23</v>
      </c>
      <c r="G11" s="36">
        <v>0.23499999999999999</v>
      </c>
      <c r="H11" s="37">
        <f t="shared" si="0"/>
        <v>0.23066666666666666</v>
      </c>
      <c r="I11" s="38">
        <f t="shared" si="1"/>
        <v>0.17966666666666667</v>
      </c>
      <c r="K11" s="9"/>
      <c r="L11" s="9"/>
      <c r="M11" s="9"/>
      <c r="N11" s="9"/>
      <c r="O11" s="9"/>
      <c r="Q11" s="23"/>
    </row>
    <row r="12" spans="2:17">
      <c r="B12" s="36" t="s">
        <v>9</v>
      </c>
      <c r="C12" s="36" t="s">
        <v>69</v>
      </c>
      <c r="D12" s="38">
        <v>5</v>
      </c>
      <c r="E12" s="36">
        <v>0.14000000000000001</v>
      </c>
      <c r="F12" s="36">
        <v>0.14099999999999999</v>
      </c>
      <c r="G12" s="36">
        <v>0.14199999999999999</v>
      </c>
      <c r="H12" s="37">
        <f t="shared" si="0"/>
        <v>0.14100000000000001</v>
      </c>
      <c r="I12" s="38">
        <f t="shared" si="1"/>
        <v>9.0000000000000024E-2</v>
      </c>
      <c r="K12" s="9"/>
      <c r="L12" s="9"/>
      <c r="M12" s="9"/>
      <c r="N12" s="9"/>
      <c r="O12" s="9"/>
      <c r="Q12" s="23"/>
    </row>
    <row r="13" spans="2:17">
      <c r="B13" s="36" t="s">
        <v>54</v>
      </c>
      <c r="C13" s="36" t="s">
        <v>70</v>
      </c>
      <c r="D13" s="38">
        <v>3</v>
      </c>
      <c r="E13" s="36">
        <v>0.10299999999999999</v>
      </c>
      <c r="F13" s="36">
        <v>0.10299999999999999</v>
      </c>
      <c r="G13" s="36">
        <v>0.10299999999999999</v>
      </c>
      <c r="H13" s="37">
        <f t="shared" si="0"/>
        <v>0.10299999999999999</v>
      </c>
      <c r="I13" s="38">
        <f t="shared" si="1"/>
        <v>5.1999999999999998E-2</v>
      </c>
      <c r="K13" s="9"/>
      <c r="L13" s="9"/>
      <c r="M13" s="9"/>
      <c r="N13" s="9"/>
      <c r="O13" s="9"/>
      <c r="Q13" s="23"/>
    </row>
    <row r="14" spans="2:17">
      <c r="B14" s="36" t="s">
        <v>55</v>
      </c>
      <c r="C14" s="36" t="s">
        <v>71</v>
      </c>
      <c r="D14" s="38">
        <v>1</v>
      </c>
      <c r="E14" s="36">
        <v>6.8000000000000005E-2</v>
      </c>
      <c r="F14" s="36">
        <v>6.9000000000000006E-2</v>
      </c>
      <c r="G14" s="36">
        <v>6.8000000000000005E-2</v>
      </c>
      <c r="H14" s="37">
        <f t="shared" si="0"/>
        <v>6.8333333333333343E-2</v>
      </c>
      <c r="I14" s="38">
        <f t="shared" si="1"/>
        <v>1.7333333333333346E-2</v>
      </c>
      <c r="K14" s="9"/>
      <c r="L14" s="9"/>
      <c r="M14" s="9"/>
      <c r="N14" s="9"/>
      <c r="O14" s="9"/>
      <c r="Q14" s="23"/>
    </row>
    <row r="15" spans="2:17">
      <c r="B15" s="36" t="s">
        <v>56</v>
      </c>
      <c r="C15" s="36" t="s">
        <v>72</v>
      </c>
      <c r="D15" s="38">
        <v>0.5</v>
      </c>
      <c r="E15" s="36">
        <v>6.4000000000000001E-2</v>
      </c>
      <c r="F15" s="36">
        <v>6.3E-2</v>
      </c>
      <c r="G15" s="36">
        <v>6.3E-2</v>
      </c>
      <c r="H15" s="37">
        <f t="shared" si="0"/>
        <v>6.3333333333333339E-2</v>
      </c>
      <c r="I15" s="38">
        <f t="shared" si="1"/>
        <v>1.2333333333333342E-2</v>
      </c>
      <c r="K15" s="9"/>
      <c r="L15" s="9"/>
      <c r="M15" s="9"/>
      <c r="N15" s="9"/>
      <c r="O15" s="9"/>
      <c r="Q15" s="23"/>
    </row>
    <row r="16" spans="2:17">
      <c r="B16" s="36" t="s">
        <v>57</v>
      </c>
      <c r="C16" s="36" t="s">
        <v>58</v>
      </c>
      <c r="D16" s="38">
        <v>0</v>
      </c>
      <c r="E16" s="36">
        <v>5.0999999999999997E-2</v>
      </c>
      <c r="F16" s="36">
        <v>5.0999999999999997E-2</v>
      </c>
      <c r="G16" s="36">
        <v>5.0999999999999997E-2</v>
      </c>
      <c r="H16" s="37">
        <f t="shared" si="0"/>
        <v>5.0999999999999997E-2</v>
      </c>
      <c r="I16" s="38">
        <f t="shared" si="1"/>
        <v>0</v>
      </c>
      <c r="K16" s="9"/>
      <c r="L16" s="9"/>
      <c r="M16" s="9"/>
      <c r="N16" s="9"/>
      <c r="O16" s="9"/>
      <c r="Q16" s="23"/>
    </row>
    <row r="24" spans="11:23"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1:23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1:23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1:23"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1:23"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1:23"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Info</vt:lpstr>
      <vt:lpstr>Correction Blank</vt:lpstr>
      <vt:lpstr>Conversions</vt:lpstr>
      <vt:lpstr>Cumulative Release</vt:lpstr>
      <vt:lpstr>STD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2026-09-28T15:36:01Z</dcterms:modified>
</cp:coreProperties>
</file>