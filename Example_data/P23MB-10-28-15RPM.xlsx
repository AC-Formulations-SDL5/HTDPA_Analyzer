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frantz_ledevedec_utoronto_ca/Documents/WORKFLOW HTDAs/DATA/Data for GitHub/"/>
    </mc:Choice>
  </mc:AlternateContent>
  <xr:revisionPtr revIDLastSave="0" documentId="8_{89CCBFBA-75B8-A749-A7ED-92C5A6E416B7}" xr6:coauthVersionLast="47" xr6:coauthVersionMax="47" xr10:uidLastSave="{00000000-0000-0000-0000-000000000000}"/>
  <bookViews>
    <workbookView xWindow="0" yWindow="-28800" windowWidth="51200" windowHeight="28800" activeTab="4" xr2:uid="{00000000-000D-0000-FFFF-FFFF00000000}"/>
  </bookViews>
  <sheets>
    <sheet name="Sheet 1" sheetId="1" r:id="rId1"/>
    <sheet name="Info" sheetId="2" r:id="rId2"/>
    <sheet name="Correction Blank" sheetId="3" r:id="rId3"/>
    <sheet name="Conversions" sheetId="4" r:id="rId4"/>
    <sheet name="Cumulative Release" sheetId="5" r:id="rId5"/>
  </sheets>
  <externalReferences>
    <externalReference r:id="rId6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17" i="2" s="1"/>
  <c r="C5" i="3" s="1"/>
  <c r="C5" i="4" s="1"/>
  <c r="B5" i="2"/>
  <c r="B18" i="2" s="1"/>
  <c r="C5" i="2"/>
  <c r="C18" i="2" s="1"/>
  <c r="D6" i="3" s="1"/>
  <c r="D6" i="4" s="1"/>
  <c r="D5" i="2"/>
  <c r="D18" i="2" s="1"/>
  <c r="E6" i="3" s="1"/>
  <c r="E6" i="4" s="1"/>
  <c r="E5" i="2"/>
  <c r="E18" i="2" s="1"/>
  <c r="F6" i="3" s="1"/>
  <c r="F6" i="4" s="1"/>
  <c r="F5" i="2"/>
  <c r="F18" i="2" s="1"/>
  <c r="G6" i="3" s="1"/>
  <c r="G6" i="4" s="1"/>
  <c r="G5" i="2"/>
  <c r="G18" i="2" s="1"/>
  <c r="H6" i="3" s="1"/>
  <c r="H6" i="4" s="1"/>
  <c r="H5" i="2"/>
  <c r="H18" i="2" s="1"/>
  <c r="I6" i="3" s="1"/>
  <c r="I6" i="4" s="1"/>
  <c r="I5" i="2"/>
  <c r="I18" i="2" s="1"/>
  <c r="J6" i="3" s="1"/>
  <c r="J6" i="4" s="1"/>
  <c r="J5" i="2"/>
  <c r="J18" i="2" s="1"/>
  <c r="K6" i="3" s="1"/>
  <c r="K6" i="4" s="1"/>
  <c r="K5" i="2"/>
  <c r="K18" i="2" s="1"/>
  <c r="L6" i="3" s="1"/>
  <c r="L6" i="4" s="1"/>
  <c r="L5" i="2"/>
  <c r="L18" i="2" s="1"/>
  <c r="M6" i="3" s="1"/>
  <c r="M6" i="4" s="1"/>
  <c r="M5" i="2"/>
  <c r="M18" i="2" s="1"/>
  <c r="N6" i="3" s="1"/>
  <c r="N6" i="4" s="1"/>
  <c r="B6" i="2"/>
  <c r="B19" i="2" s="1"/>
  <c r="C6" i="2"/>
  <c r="C19" i="2" s="1"/>
  <c r="D7" i="3" s="1"/>
  <c r="D7" i="4" s="1"/>
  <c r="D6" i="2"/>
  <c r="D19" i="2" s="1"/>
  <c r="E7" i="3" s="1"/>
  <c r="E7" i="4" s="1"/>
  <c r="E6" i="2"/>
  <c r="E19" i="2" s="1"/>
  <c r="F7" i="3" s="1"/>
  <c r="F7" i="4" s="1"/>
  <c r="F6" i="2"/>
  <c r="F19" i="2" s="1"/>
  <c r="G7" i="3" s="1"/>
  <c r="G7" i="4" s="1"/>
  <c r="G6" i="2"/>
  <c r="G19" i="2" s="1"/>
  <c r="H7" i="3" s="1"/>
  <c r="H7" i="4" s="1"/>
  <c r="H6" i="2"/>
  <c r="H19" i="2" s="1"/>
  <c r="I7" i="3" s="1"/>
  <c r="I7" i="4" s="1"/>
  <c r="I6" i="2"/>
  <c r="I19" i="2" s="1"/>
  <c r="J7" i="3" s="1"/>
  <c r="J7" i="4" s="1"/>
  <c r="J6" i="2"/>
  <c r="J19" i="2" s="1"/>
  <c r="K7" i="3" s="1"/>
  <c r="K7" i="4" s="1"/>
  <c r="K6" i="2"/>
  <c r="K19" i="2" s="1"/>
  <c r="L7" i="3" s="1"/>
  <c r="L7" i="4" s="1"/>
  <c r="L6" i="2"/>
  <c r="L19" i="2" s="1"/>
  <c r="M7" i="3" s="1"/>
  <c r="M7" i="4" s="1"/>
  <c r="M6" i="2"/>
  <c r="M19" i="2" s="1"/>
  <c r="N7" i="3" s="1"/>
  <c r="N7" i="4" s="1"/>
  <c r="B7" i="2"/>
  <c r="C7" i="2"/>
  <c r="C20" i="2" s="1"/>
  <c r="D8" i="3" s="1"/>
  <c r="D8" i="4" s="1"/>
  <c r="D7" i="2"/>
  <c r="D20" i="2" s="1"/>
  <c r="E8" i="3" s="1"/>
  <c r="E8" i="4" s="1"/>
  <c r="E7" i="2"/>
  <c r="E20" i="2" s="1"/>
  <c r="F8" i="3" s="1"/>
  <c r="F8" i="4" s="1"/>
  <c r="F7" i="2"/>
  <c r="F20" i="2" s="1"/>
  <c r="G8" i="3" s="1"/>
  <c r="G8" i="4" s="1"/>
  <c r="G7" i="2"/>
  <c r="G20" i="2" s="1"/>
  <c r="H8" i="3" s="1"/>
  <c r="H8" i="4" s="1"/>
  <c r="H7" i="2"/>
  <c r="H20" i="2" s="1"/>
  <c r="I8" i="3" s="1"/>
  <c r="I8" i="4" s="1"/>
  <c r="I7" i="2"/>
  <c r="I20" i="2" s="1"/>
  <c r="J8" i="3" s="1"/>
  <c r="J8" i="4" s="1"/>
  <c r="J7" i="2"/>
  <c r="J20" i="2" s="1"/>
  <c r="K8" i="3" s="1"/>
  <c r="K8" i="4" s="1"/>
  <c r="K7" i="2"/>
  <c r="K20" i="2" s="1"/>
  <c r="L8" i="3" s="1"/>
  <c r="L8" i="4" s="1"/>
  <c r="L7" i="2"/>
  <c r="L20" i="2" s="1"/>
  <c r="M8" i="3" s="1"/>
  <c r="M8" i="4" s="1"/>
  <c r="M7" i="2"/>
  <c r="M20" i="2" s="1"/>
  <c r="N8" i="3" s="1"/>
  <c r="N8" i="4" s="1"/>
  <c r="B8" i="2"/>
  <c r="B23" i="2" s="1"/>
  <c r="O5" i="3" s="1"/>
  <c r="O5" i="4" s="1"/>
  <c r="C8" i="2"/>
  <c r="C23" i="2" s="1"/>
  <c r="P5" i="3" s="1"/>
  <c r="P5" i="4" s="1"/>
  <c r="D8" i="2"/>
  <c r="D23" i="2" s="1"/>
  <c r="Q5" i="3" s="1"/>
  <c r="Q5" i="4" s="1"/>
  <c r="E8" i="2"/>
  <c r="E23" i="2" s="1"/>
  <c r="R5" i="3" s="1"/>
  <c r="R5" i="4" s="1"/>
  <c r="F8" i="2"/>
  <c r="F23" i="2" s="1"/>
  <c r="S5" i="3" s="1"/>
  <c r="S5" i="4" s="1"/>
  <c r="G8" i="2"/>
  <c r="G23" i="2" s="1"/>
  <c r="T5" i="3" s="1"/>
  <c r="T5" i="4" s="1"/>
  <c r="H8" i="2"/>
  <c r="H23" i="2" s="1"/>
  <c r="U5" i="3" s="1"/>
  <c r="U5" i="4" s="1"/>
  <c r="I8" i="2"/>
  <c r="I23" i="2" s="1"/>
  <c r="V5" i="3" s="1"/>
  <c r="V5" i="4" s="1"/>
  <c r="J8" i="2"/>
  <c r="J23" i="2" s="1"/>
  <c r="W5" i="3" s="1"/>
  <c r="W5" i="4" s="1"/>
  <c r="K8" i="2"/>
  <c r="K23" i="2" s="1"/>
  <c r="X5" i="3" s="1"/>
  <c r="X5" i="4" s="1"/>
  <c r="L8" i="2"/>
  <c r="L23" i="2" s="1"/>
  <c r="Y5" i="3" s="1"/>
  <c r="M8" i="2"/>
  <c r="M23" i="2" s="1"/>
  <c r="Z5" i="3" s="1"/>
  <c r="B9" i="2"/>
  <c r="B24" i="2" s="1"/>
  <c r="O6" i="3" s="1"/>
  <c r="O6" i="4" s="1"/>
  <c r="C9" i="2"/>
  <c r="C24" i="2" s="1"/>
  <c r="P6" i="3" s="1"/>
  <c r="P6" i="4" s="1"/>
  <c r="D9" i="2"/>
  <c r="D24" i="2" s="1"/>
  <c r="Q6" i="3" s="1"/>
  <c r="Q6" i="4" s="1"/>
  <c r="E9" i="2"/>
  <c r="E24" i="2" s="1"/>
  <c r="R6" i="3" s="1"/>
  <c r="R6" i="4" s="1"/>
  <c r="F9" i="2"/>
  <c r="F24" i="2" s="1"/>
  <c r="S6" i="3" s="1"/>
  <c r="S6" i="4" s="1"/>
  <c r="G9" i="2"/>
  <c r="G24" i="2" s="1"/>
  <c r="T6" i="3" s="1"/>
  <c r="T6" i="4" s="1"/>
  <c r="H9" i="2"/>
  <c r="H24" i="2" s="1"/>
  <c r="U6" i="3" s="1"/>
  <c r="U6" i="4" s="1"/>
  <c r="I9" i="2"/>
  <c r="I24" i="2" s="1"/>
  <c r="V6" i="3" s="1"/>
  <c r="V6" i="4" s="1"/>
  <c r="J9" i="2"/>
  <c r="J24" i="2" s="1"/>
  <c r="W6" i="3" s="1"/>
  <c r="W6" i="4" s="1"/>
  <c r="K9" i="2"/>
  <c r="K24" i="2" s="1"/>
  <c r="X6" i="3" s="1"/>
  <c r="X6" i="4" s="1"/>
  <c r="L9" i="2"/>
  <c r="L24" i="2" s="1"/>
  <c r="Y6" i="3" s="1"/>
  <c r="M9" i="2"/>
  <c r="M24" i="2" s="1"/>
  <c r="Z6" i="3" s="1"/>
  <c r="Z6" i="4" s="1"/>
  <c r="B10" i="2"/>
  <c r="B25" i="2" s="1"/>
  <c r="O7" i="3" s="1"/>
  <c r="O7" i="4" s="1"/>
  <c r="C10" i="2"/>
  <c r="C25" i="2" s="1"/>
  <c r="P7" i="3" s="1"/>
  <c r="P7" i="4" s="1"/>
  <c r="D10" i="2"/>
  <c r="D25" i="2" s="1"/>
  <c r="Q7" i="3" s="1"/>
  <c r="Q7" i="4" s="1"/>
  <c r="E10" i="2"/>
  <c r="E25" i="2" s="1"/>
  <c r="R7" i="3" s="1"/>
  <c r="R7" i="4" s="1"/>
  <c r="F10" i="2"/>
  <c r="F25" i="2" s="1"/>
  <c r="S7" i="3" s="1"/>
  <c r="S7" i="4" s="1"/>
  <c r="G10" i="2"/>
  <c r="G25" i="2" s="1"/>
  <c r="T7" i="3" s="1"/>
  <c r="T7" i="4" s="1"/>
  <c r="H10" i="2"/>
  <c r="H25" i="2" s="1"/>
  <c r="U7" i="3" s="1"/>
  <c r="U7" i="4" s="1"/>
  <c r="I10" i="2"/>
  <c r="I25" i="2" s="1"/>
  <c r="V7" i="3" s="1"/>
  <c r="V7" i="4" s="1"/>
  <c r="J10" i="2"/>
  <c r="J25" i="2" s="1"/>
  <c r="W7" i="3" s="1"/>
  <c r="W7" i="4" s="1"/>
  <c r="K10" i="2"/>
  <c r="K25" i="2" s="1"/>
  <c r="X7" i="3" s="1"/>
  <c r="X7" i="4" s="1"/>
  <c r="L10" i="2"/>
  <c r="L25" i="2" s="1"/>
  <c r="Y7" i="3" s="1"/>
  <c r="M10" i="2"/>
  <c r="M25" i="2" s="1"/>
  <c r="Z7" i="3" s="1"/>
  <c r="Z7" i="4" s="1"/>
  <c r="B11" i="2"/>
  <c r="B26" i="2" s="1"/>
  <c r="O8" i="3" s="1"/>
  <c r="O8" i="4" s="1"/>
  <c r="C11" i="2"/>
  <c r="C26" i="2" s="1"/>
  <c r="P8" i="3" s="1"/>
  <c r="P8" i="4" s="1"/>
  <c r="D11" i="2"/>
  <c r="D26" i="2" s="1"/>
  <c r="Q8" i="3" s="1"/>
  <c r="Q8" i="4" s="1"/>
  <c r="E11" i="2"/>
  <c r="E26" i="2" s="1"/>
  <c r="R8" i="3" s="1"/>
  <c r="R8" i="4" s="1"/>
  <c r="F11" i="2"/>
  <c r="F26" i="2" s="1"/>
  <c r="S8" i="3" s="1"/>
  <c r="S8" i="4" s="1"/>
  <c r="G11" i="2"/>
  <c r="G26" i="2" s="1"/>
  <c r="T8" i="3" s="1"/>
  <c r="T8" i="4" s="1"/>
  <c r="H11" i="2"/>
  <c r="H26" i="2" s="1"/>
  <c r="U8" i="3" s="1"/>
  <c r="U8" i="4" s="1"/>
  <c r="I11" i="2"/>
  <c r="I26" i="2" s="1"/>
  <c r="V8" i="3" s="1"/>
  <c r="V8" i="4" s="1"/>
  <c r="J11" i="2"/>
  <c r="J26" i="2" s="1"/>
  <c r="W8" i="3" s="1"/>
  <c r="W8" i="4" s="1"/>
  <c r="K11" i="2"/>
  <c r="K26" i="2" s="1"/>
  <c r="X8" i="3" s="1"/>
  <c r="X8" i="4" s="1"/>
  <c r="L11" i="2"/>
  <c r="L26" i="2" s="1"/>
  <c r="Y8" i="3" s="1"/>
  <c r="Y8" i="4" s="1"/>
  <c r="M11" i="2"/>
  <c r="M26" i="2" s="1"/>
  <c r="Z8" i="3" s="1"/>
  <c r="C4" i="2"/>
  <c r="C17" i="2" s="1"/>
  <c r="D5" i="3" s="1"/>
  <c r="D5" i="4" s="1"/>
  <c r="D4" i="2"/>
  <c r="E4" i="2"/>
  <c r="F4" i="2"/>
  <c r="G4" i="2"/>
  <c r="H4" i="2"/>
  <c r="I4" i="2"/>
  <c r="J4" i="2"/>
  <c r="K4" i="2"/>
  <c r="L4" i="2"/>
  <c r="M4" i="2"/>
  <c r="B6" i="4"/>
  <c r="B7" i="4"/>
  <c r="B8" i="4"/>
  <c r="B5" i="4"/>
  <c r="B6" i="3"/>
  <c r="B7" i="3"/>
  <c r="B8" i="3"/>
  <c r="B5" i="3"/>
  <c r="C4" i="4"/>
  <c r="C13" i="5" s="1"/>
  <c r="C20" i="5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N32" i="2"/>
  <c r="C16" i="2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B22" i="2" s="1"/>
  <c r="C22" i="2" s="1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B20" i="2"/>
  <c r="B17" i="5" l="1"/>
  <c r="B24" i="5" s="1"/>
  <c r="B31" i="5" s="1"/>
  <c r="B16" i="5"/>
  <c r="B23" i="5" s="1"/>
  <c r="B30" i="5" s="1"/>
  <c r="B15" i="5"/>
  <c r="B22" i="5" s="1"/>
  <c r="B29" i="5" s="1"/>
  <c r="B14" i="5"/>
  <c r="B21" i="5" s="1"/>
  <c r="B28" i="5" s="1"/>
  <c r="Y6" i="4"/>
  <c r="Y15" i="5" s="1"/>
  <c r="Z15" i="5"/>
  <c r="Z8" i="4"/>
  <c r="Z17" i="5" s="1"/>
  <c r="Y7" i="4"/>
  <c r="Y16" i="5" s="1"/>
  <c r="Z16" i="5"/>
  <c r="Z5" i="4"/>
  <c r="Z14" i="5" s="1"/>
  <c r="Y5" i="4"/>
  <c r="Y17" i="5"/>
  <c r="S16" i="5"/>
  <c r="V17" i="5"/>
  <c r="O17" i="5"/>
  <c r="Q15" i="5"/>
  <c r="U16" i="5"/>
  <c r="W17" i="5"/>
  <c r="U15" i="5"/>
  <c r="O14" i="5"/>
  <c r="R15" i="5"/>
  <c r="K16" i="5"/>
  <c r="H17" i="5"/>
  <c r="H16" i="5"/>
  <c r="I16" i="5"/>
  <c r="L17" i="5"/>
  <c r="M15" i="5"/>
  <c r="O15" i="5"/>
  <c r="K17" i="5"/>
  <c r="L15" i="5"/>
  <c r="N15" i="5"/>
  <c r="E16" i="5"/>
  <c r="F16" i="5"/>
  <c r="G16" i="5"/>
  <c r="C8" i="3"/>
  <c r="C8" i="4" s="1"/>
  <c r="C7" i="3"/>
  <c r="C7" i="4" s="1"/>
  <c r="C6" i="3"/>
  <c r="C6" i="4" s="1"/>
  <c r="D17" i="2"/>
  <c r="E5" i="3" s="1"/>
  <c r="E5" i="4" s="1"/>
  <c r="C14" i="5"/>
  <c r="C21" i="5" s="1"/>
  <c r="D4" i="4"/>
  <c r="D13" i="5" s="1"/>
  <c r="C27" i="5"/>
  <c r="X16" i="5"/>
  <c r="X14" i="5"/>
  <c r="X15" i="5"/>
  <c r="X17" i="5"/>
  <c r="Y14" i="5" l="1"/>
  <c r="U17" i="5"/>
  <c r="W14" i="5"/>
  <c r="F15" i="5"/>
  <c r="P15" i="5"/>
  <c r="K15" i="5"/>
  <c r="I15" i="5"/>
  <c r="R14" i="5"/>
  <c r="D17" i="5"/>
  <c r="G17" i="5"/>
  <c r="R16" i="5"/>
  <c r="N17" i="5"/>
  <c r="P14" i="5"/>
  <c r="M16" i="5"/>
  <c r="T17" i="5"/>
  <c r="S15" i="5"/>
  <c r="P17" i="5"/>
  <c r="E17" i="5"/>
  <c r="R17" i="5"/>
  <c r="Q17" i="5"/>
  <c r="V16" i="5"/>
  <c r="V15" i="5"/>
  <c r="T16" i="5"/>
  <c r="E15" i="5"/>
  <c r="S14" i="5"/>
  <c r="T14" i="5"/>
  <c r="Q14" i="5"/>
  <c r="O16" i="5"/>
  <c r="U14" i="5"/>
  <c r="T15" i="5"/>
  <c r="W16" i="5"/>
  <c r="V14" i="5"/>
  <c r="W15" i="5"/>
  <c r="P16" i="5"/>
  <c r="Q16" i="5"/>
  <c r="S17" i="5"/>
  <c r="G15" i="5"/>
  <c r="D15" i="5"/>
  <c r="D16" i="5"/>
  <c r="J17" i="5"/>
  <c r="N16" i="5"/>
  <c r="L16" i="5"/>
  <c r="J15" i="5"/>
  <c r="D14" i="5"/>
  <c r="D21" i="5" s="1"/>
  <c r="M17" i="5"/>
  <c r="I17" i="5"/>
  <c r="H15" i="5"/>
  <c r="F17" i="5"/>
  <c r="J16" i="5"/>
  <c r="C15" i="5"/>
  <c r="C16" i="5"/>
  <c r="C17" i="5"/>
  <c r="E17" i="2"/>
  <c r="F5" i="3" s="1"/>
  <c r="F5" i="4" s="1"/>
  <c r="C28" i="5"/>
  <c r="E4" i="4"/>
  <c r="E13" i="5" s="1"/>
  <c r="D20" i="5"/>
  <c r="D27" i="5"/>
  <c r="D23" i="5" l="1"/>
  <c r="D30" i="5" s="1"/>
  <c r="H24" i="5"/>
  <c r="D22" i="5"/>
  <c r="D29" i="5" s="1"/>
  <c r="T24" i="5"/>
  <c r="T31" i="5" s="1"/>
  <c r="K24" i="5"/>
  <c r="K31" i="5" s="1"/>
  <c r="J24" i="5"/>
  <c r="J31" i="5" s="1"/>
  <c r="U24" i="5"/>
  <c r="U31" i="5" s="1"/>
  <c r="Q24" i="5"/>
  <c r="Q31" i="5" s="1"/>
  <c r="H31" i="5"/>
  <c r="R24" i="5"/>
  <c r="R31" i="5" s="1"/>
  <c r="Y24" i="5"/>
  <c r="Y31" i="5" s="1"/>
  <c r="M24" i="5"/>
  <c r="M31" i="5" s="1"/>
  <c r="V24" i="5"/>
  <c r="V31" i="5" s="1"/>
  <c r="X24" i="5"/>
  <c r="X31" i="5" s="1"/>
  <c r="N24" i="5"/>
  <c r="N31" i="5" s="1"/>
  <c r="O24" i="5"/>
  <c r="O31" i="5" s="1"/>
  <c r="L24" i="5"/>
  <c r="L31" i="5" s="1"/>
  <c r="G24" i="5"/>
  <c r="G31" i="5" s="1"/>
  <c r="C24" i="5"/>
  <c r="C31" i="5" s="1"/>
  <c r="Z24" i="5"/>
  <c r="Z31" i="5" s="1"/>
  <c r="I24" i="5"/>
  <c r="I31" i="5" s="1"/>
  <c r="S24" i="5"/>
  <c r="S31" i="5" s="1"/>
  <c r="E24" i="5"/>
  <c r="E31" i="5" s="1"/>
  <c r="F24" i="5"/>
  <c r="F31" i="5" s="1"/>
  <c r="P24" i="5"/>
  <c r="P31" i="5" s="1"/>
  <c r="W24" i="5"/>
  <c r="W31" i="5" s="1"/>
  <c r="Y23" i="5"/>
  <c r="Y30" i="5" s="1"/>
  <c r="X22" i="5"/>
  <c r="X29" i="5" s="1"/>
  <c r="D24" i="5"/>
  <c r="D31" i="5" s="1"/>
  <c r="M23" i="5"/>
  <c r="M30" i="5" s="1"/>
  <c r="S23" i="5"/>
  <c r="S30" i="5" s="1"/>
  <c r="H23" i="5"/>
  <c r="H30" i="5" s="1"/>
  <c r="R22" i="5"/>
  <c r="R29" i="5" s="1"/>
  <c r="W23" i="5"/>
  <c r="W30" i="5" s="1"/>
  <c r="F23" i="5"/>
  <c r="F30" i="5" s="1"/>
  <c r="C23" i="5"/>
  <c r="C30" i="5" s="1"/>
  <c r="Z23" i="5"/>
  <c r="Z30" i="5" s="1"/>
  <c r="J23" i="5"/>
  <c r="J30" i="5" s="1"/>
  <c r="T23" i="5"/>
  <c r="T30" i="5" s="1"/>
  <c r="I23" i="5"/>
  <c r="I30" i="5" s="1"/>
  <c r="R23" i="5"/>
  <c r="R30" i="5" s="1"/>
  <c r="G23" i="5"/>
  <c r="G30" i="5" s="1"/>
  <c r="L23" i="5"/>
  <c r="L30" i="5" s="1"/>
  <c r="U23" i="5"/>
  <c r="U30" i="5" s="1"/>
  <c r="Q23" i="5"/>
  <c r="Q30" i="5" s="1"/>
  <c r="X23" i="5"/>
  <c r="X30" i="5" s="1"/>
  <c r="N23" i="5"/>
  <c r="N30" i="5" s="1"/>
  <c r="V23" i="5"/>
  <c r="V30" i="5" s="1"/>
  <c r="E23" i="5"/>
  <c r="E30" i="5" s="1"/>
  <c r="H22" i="5"/>
  <c r="H29" i="5" s="1"/>
  <c r="P23" i="5"/>
  <c r="P30" i="5" s="1"/>
  <c r="O23" i="5"/>
  <c r="O30" i="5" s="1"/>
  <c r="K23" i="5"/>
  <c r="K30" i="5" s="1"/>
  <c r="S22" i="5"/>
  <c r="S29" i="5" s="1"/>
  <c r="P22" i="5"/>
  <c r="P29" i="5" s="1"/>
  <c r="F22" i="5"/>
  <c r="F29" i="5" s="1"/>
  <c r="Q22" i="5"/>
  <c r="Q29" i="5" s="1"/>
  <c r="M22" i="5"/>
  <c r="M29" i="5" s="1"/>
  <c r="Y22" i="5"/>
  <c r="Y29" i="5" s="1"/>
  <c r="E22" i="5"/>
  <c r="E29" i="5" s="1"/>
  <c r="I22" i="5"/>
  <c r="I29" i="5" s="1"/>
  <c r="U22" i="5"/>
  <c r="U29" i="5" s="1"/>
  <c r="L22" i="5"/>
  <c r="L29" i="5" s="1"/>
  <c r="G22" i="5"/>
  <c r="G29" i="5" s="1"/>
  <c r="T22" i="5"/>
  <c r="T29" i="5" s="1"/>
  <c r="N22" i="5"/>
  <c r="N29" i="5" s="1"/>
  <c r="W22" i="5"/>
  <c r="W29" i="5" s="1"/>
  <c r="K22" i="5"/>
  <c r="K29" i="5" s="1"/>
  <c r="C22" i="5"/>
  <c r="C29" i="5" s="1"/>
  <c r="Z22" i="5"/>
  <c r="Z29" i="5" s="1"/>
  <c r="J22" i="5"/>
  <c r="J29" i="5" s="1"/>
  <c r="V22" i="5"/>
  <c r="V29" i="5" s="1"/>
  <c r="O22" i="5"/>
  <c r="O29" i="5" s="1"/>
  <c r="E14" i="5"/>
  <c r="E21" i="5" s="1"/>
  <c r="E28" i="5" s="1"/>
  <c r="D28" i="5"/>
  <c r="F17" i="2"/>
  <c r="G5" i="3" s="1"/>
  <c r="G5" i="4" s="1"/>
  <c r="F4" i="4"/>
  <c r="G4" i="4" s="1"/>
  <c r="E20" i="5"/>
  <c r="E27" i="5"/>
  <c r="C33" i="5" l="1"/>
  <c r="E34" i="5"/>
  <c r="E33" i="5"/>
  <c r="D33" i="5"/>
  <c r="C34" i="5"/>
  <c r="F14" i="5"/>
  <c r="F21" i="5" s="1"/>
  <c r="F28" i="5" s="1"/>
  <c r="F13" i="5"/>
  <c r="F20" i="5" s="1"/>
  <c r="D34" i="5"/>
  <c r="G17" i="2"/>
  <c r="H5" i="3" s="1"/>
  <c r="H5" i="4" s="1"/>
  <c r="H4" i="4"/>
  <c r="G13" i="5"/>
  <c r="D35" i="5" l="1"/>
  <c r="C35" i="5"/>
  <c r="E35" i="5"/>
  <c r="G14" i="5"/>
  <c r="G21" i="5" s="1"/>
  <c r="G28" i="5" s="1"/>
  <c r="G33" i="5" s="1"/>
  <c r="F27" i="5"/>
  <c r="H17" i="2"/>
  <c r="I5" i="3" s="1"/>
  <c r="I5" i="4" s="1"/>
  <c r="F33" i="5"/>
  <c r="F34" i="5"/>
  <c r="G27" i="5"/>
  <c r="G20" i="5"/>
  <c r="I4" i="4"/>
  <c r="H13" i="5"/>
  <c r="G34" i="5" l="1"/>
  <c r="G35" i="5" s="1"/>
  <c r="H14" i="5"/>
  <c r="H21" i="5" s="1"/>
  <c r="H28" i="5" s="1"/>
  <c r="F35" i="5"/>
  <c r="I17" i="2"/>
  <c r="J5" i="3" s="1"/>
  <c r="J5" i="4" s="1"/>
  <c r="H27" i="5"/>
  <c r="H20" i="5"/>
  <c r="J4" i="4"/>
  <c r="I13" i="5"/>
  <c r="I14" i="5" l="1"/>
  <c r="I21" i="5" s="1"/>
  <c r="I28" i="5" s="1"/>
  <c r="H34" i="5"/>
  <c r="H33" i="5"/>
  <c r="J17" i="2"/>
  <c r="K5" i="3" s="1"/>
  <c r="K5" i="4" s="1"/>
  <c r="I27" i="5"/>
  <c r="I20" i="5"/>
  <c r="K4" i="4"/>
  <c r="J13" i="5"/>
  <c r="J14" i="5" l="1"/>
  <c r="J21" i="5" s="1"/>
  <c r="J28" i="5" s="1"/>
  <c r="K17" i="2"/>
  <c r="L5" i="3" s="1"/>
  <c r="L5" i="4" s="1"/>
  <c r="I33" i="5"/>
  <c r="I34" i="5"/>
  <c r="H35" i="5"/>
  <c r="J27" i="5"/>
  <c r="J20" i="5"/>
  <c r="L4" i="4"/>
  <c r="K13" i="5"/>
  <c r="K14" i="5" l="1"/>
  <c r="K21" i="5" s="1"/>
  <c r="K28" i="5" s="1"/>
  <c r="I35" i="5"/>
  <c r="J34" i="5"/>
  <c r="J33" i="5"/>
  <c r="M17" i="2"/>
  <c r="N5" i="3" s="1"/>
  <c r="N5" i="4" s="1"/>
  <c r="L17" i="2"/>
  <c r="M5" i="3" s="1"/>
  <c r="M5" i="4" s="1"/>
  <c r="L13" i="5"/>
  <c r="M4" i="4"/>
  <c r="K20" i="5"/>
  <c r="K27" i="5"/>
  <c r="L14" i="5" l="1"/>
  <c r="L21" i="5" s="1"/>
  <c r="L28" i="5" s="1"/>
  <c r="K34" i="5"/>
  <c r="K33" i="5"/>
  <c r="J35" i="5"/>
  <c r="M13" i="5"/>
  <c r="N4" i="4"/>
  <c r="L20" i="5"/>
  <c r="L27" i="5"/>
  <c r="M14" i="5" l="1"/>
  <c r="N14" i="5"/>
  <c r="L34" i="5"/>
  <c r="L33" i="5"/>
  <c r="K35" i="5"/>
  <c r="N13" i="5"/>
  <c r="O4" i="4"/>
  <c r="M20" i="5"/>
  <c r="M27" i="5"/>
  <c r="Z21" i="5" l="1"/>
  <c r="Z28" i="5" s="1"/>
  <c r="Y21" i="5"/>
  <c r="Y28" i="5" s="1"/>
  <c r="P21" i="5"/>
  <c r="P28" i="5" s="1"/>
  <c r="P34" i="5" s="1"/>
  <c r="N21" i="5"/>
  <c r="N28" i="5" s="1"/>
  <c r="N34" i="5" s="1"/>
  <c r="U21" i="5"/>
  <c r="U28" i="5" s="1"/>
  <c r="U33" i="5" s="1"/>
  <c r="M21" i="5"/>
  <c r="M28" i="5" s="1"/>
  <c r="M33" i="5" s="1"/>
  <c r="W21" i="5"/>
  <c r="W28" i="5" s="1"/>
  <c r="W34" i="5" s="1"/>
  <c r="R21" i="5"/>
  <c r="R28" i="5" s="1"/>
  <c r="R34" i="5" s="1"/>
  <c r="T21" i="5"/>
  <c r="T28" i="5" s="1"/>
  <c r="T34" i="5" s="1"/>
  <c r="Q21" i="5"/>
  <c r="Q28" i="5" s="1"/>
  <c r="Q33" i="5" s="1"/>
  <c r="V21" i="5"/>
  <c r="V28" i="5" s="1"/>
  <c r="V33" i="5" s="1"/>
  <c r="O21" i="5"/>
  <c r="O28" i="5" s="1"/>
  <c r="O33" i="5" s="1"/>
  <c r="X21" i="5"/>
  <c r="X28" i="5" s="1"/>
  <c r="X34" i="5" s="1"/>
  <c r="S21" i="5"/>
  <c r="S28" i="5" s="1"/>
  <c r="S33" i="5" s="1"/>
  <c r="L35" i="5"/>
  <c r="O13" i="5"/>
  <c r="P4" i="4"/>
  <c r="N27" i="5"/>
  <c r="N20" i="5"/>
  <c r="P33" i="5" l="1"/>
  <c r="P35" i="5" s="1"/>
  <c r="Y33" i="5"/>
  <c r="Y34" i="5"/>
  <c r="Z33" i="5"/>
  <c r="Z34" i="5"/>
  <c r="N33" i="5"/>
  <c r="N35" i="5" s="1"/>
  <c r="U34" i="5"/>
  <c r="U35" i="5" s="1"/>
  <c r="W33" i="5"/>
  <c r="W35" i="5" s="1"/>
  <c r="R33" i="5"/>
  <c r="R35" i="5" s="1"/>
  <c r="M34" i="5"/>
  <c r="M35" i="5" s="1"/>
  <c r="Q34" i="5"/>
  <c r="Q35" i="5" s="1"/>
  <c r="O34" i="5"/>
  <c r="O35" i="5" s="1"/>
  <c r="T33" i="5"/>
  <c r="T35" i="5" s="1"/>
  <c r="X33" i="5"/>
  <c r="X35" i="5" s="1"/>
  <c r="V34" i="5"/>
  <c r="V35" i="5" s="1"/>
  <c r="S34" i="5"/>
  <c r="S35" i="5" s="1"/>
  <c r="Q4" i="4"/>
  <c r="P13" i="5"/>
  <c r="O27" i="5"/>
  <c r="O20" i="5"/>
  <c r="Y35" i="5" l="1"/>
  <c r="Z35" i="5"/>
  <c r="P27" i="5"/>
  <c r="P20" i="5"/>
  <c r="R4" i="4"/>
  <c r="Q13" i="5"/>
  <c r="S4" i="4" l="1"/>
  <c r="R13" i="5"/>
  <c r="Q20" i="5"/>
  <c r="Q27" i="5"/>
  <c r="R27" i="5" l="1"/>
  <c r="R20" i="5"/>
  <c r="T4" i="4"/>
  <c r="S13" i="5"/>
  <c r="U4" i="4" l="1"/>
  <c r="T13" i="5"/>
  <c r="S27" i="5"/>
  <c r="S20" i="5"/>
  <c r="T27" i="5" l="1"/>
  <c r="T20" i="5"/>
  <c r="V4" i="4"/>
  <c r="U13" i="5"/>
  <c r="U27" i="5" l="1"/>
  <c r="U20" i="5"/>
  <c r="W4" i="4"/>
  <c r="V13" i="5"/>
  <c r="V27" i="5" l="1"/>
  <c r="V20" i="5"/>
  <c r="X4" i="4"/>
  <c r="W13" i="5"/>
  <c r="W20" i="5" l="1"/>
  <c r="W27" i="5"/>
  <c r="X13" i="5"/>
  <c r="Y4" i="4"/>
  <c r="Z4" i="4" l="1"/>
  <c r="Z13" i="5" s="1"/>
  <c r="Y13" i="5"/>
  <c r="X20" i="5"/>
  <c r="X27" i="5"/>
  <c r="Y27" i="5" l="1"/>
  <c r="Y20" i="5"/>
  <c r="Z27" i="5"/>
  <c r="Z20" i="5"/>
</calcChain>
</file>

<file path=xl/sharedStrings.xml><?xml version="1.0" encoding="utf-8"?>
<sst xmlns="http://schemas.openxmlformats.org/spreadsheetml/2006/main" count="98" uniqueCount="62">
  <si>
    <t>A</t>
  </si>
  <si>
    <t>B</t>
  </si>
  <si>
    <t>C</t>
  </si>
  <si>
    <t>D</t>
  </si>
  <si>
    <t>E</t>
  </si>
  <si>
    <t>F</t>
  </si>
  <si>
    <t>G</t>
  </si>
  <si>
    <t>H</t>
  </si>
  <si>
    <t>Time (min)</t>
  </si>
  <si>
    <t>Ch1 (A)</t>
  </si>
  <si>
    <t>Ch2 (B)</t>
  </si>
  <si>
    <t>Ch3 (C)</t>
  </si>
  <si>
    <t>Ch4 (D)</t>
  </si>
  <si>
    <t>Ch1 (E)</t>
  </si>
  <si>
    <t>Ch2 (F)</t>
  </si>
  <si>
    <t>Ch3 (G)</t>
  </si>
  <si>
    <t>Ch4 (H)</t>
  </si>
  <si>
    <t>Formulations</t>
  </si>
  <si>
    <t>Ch1</t>
  </si>
  <si>
    <t>Ch2</t>
  </si>
  <si>
    <t>Ch3</t>
  </si>
  <si>
    <t>Ch4</t>
  </si>
  <si>
    <t>Receptor cell (ml)</t>
  </si>
  <si>
    <t>Donor cell (ml)</t>
  </si>
  <si>
    <t>ug MB</t>
  </si>
  <si>
    <t>Flow RMSP (Q+) / (Q-) ml/min</t>
  </si>
  <si>
    <t>Temperature (oC) +/-1</t>
  </si>
  <si>
    <t>Correction O.D</t>
  </si>
  <si>
    <t>Convert to MB  content (ug)</t>
  </si>
  <si>
    <t>Average (%)</t>
  </si>
  <si>
    <t>a</t>
  </si>
  <si>
    <t>b</t>
  </si>
  <si>
    <t>Vol.Media (ml)</t>
  </si>
  <si>
    <t>HTDPA P15 – Sampling-Corrected Cumulative Methylene Blue Release</t>
  </si>
  <si>
    <t>Calculation inputs</t>
  </si>
  <si>
    <t>Receptor volume (mL)</t>
  </si>
  <si>
    <t>Equation</t>
  </si>
  <si>
    <t>Qn = V·Cn + Vs·SUM(C1:Cn-1)</t>
  </si>
  <si>
    <t>Sample volume replaced (mL)</t>
  </si>
  <si>
    <t>Interpretation</t>
  </si>
  <si>
    <t>Current amount in the 20 mL receptor + all MB removed in previous 250 µL samples. The current sample is not added separately.</t>
  </si>
  <si>
    <t>Initial MB in donor (µg)</t>
  </si>
  <si>
    <t>Data handling</t>
  </si>
  <si>
    <t>Concentrations are linked directly from Conversions and are not truncated; negative early values are retained exactly as calculated.</t>
  </si>
  <si>
    <t>Measured concentration (µg/mL)</t>
  </si>
  <si>
    <t>Sampling-corrected cumulative release (µg)</t>
  </si>
  <si>
    <t>Sampling-corrected cumulative release (% of 250 µg donor dose)</t>
  </si>
  <si>
    <t>S.D. (%)</t>
  </si>
  <si>
    <t>C.V. (%)</t>
  </si>
  <si>
    <t>The existing Conversions sheet applies sampling correction only at selected cells. This sheet uses the cumulative correction at every time point and leaves the original sheet unchanged.</t>
  </si>
  <si>
    <t>Note</t>
  </si>
  <si>
    <t xml:space="preserve"> All CH</t>
  </si>
  <si>
    <t>EDIT</t>
  </si>
  <si>
    <t>P23-1</t>
  </si>
  <si>
    <t>P23-2</t>
  </si>
  <si>
    <t>P23-3</t>
  </si>
  <si>
    <t>P23-4</t>
  </si>
  <si>
    <t>15RPM</t>
  </si>
  <si>
    <t>P23(Poloxamer 407), 1 µm PET membrane, 15RPM,28 °C, n=4 channels</t>
  </si>
  <si>
    <t>P23MB-10-28-15RPM</t>
  </si>
  <si>
    <t>Standard Curve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</si>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</sst>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color theme="1"/>
      <name val="Liberation Sans"/>
    </font>
    <font>
      <sz val="10"/>
      <color theme="1"/>
      <name val="Liberation Serif"/>
    </font>
    <font>
      <sz val="10"/>
      <name val="Times New Roman"/>
      <family val="1"/>
      <charset val="1"/>
    </font>
    <font>
      <sz val="10"/>
      <color theme="1"/>
      <name val="Arial"/>
      <family val="2"/>
    </font>
    <font>
      <b/>
      <sz val="11"/>
      <color theme="1"/>
      <name val="Aptos Narrow"/>
      <scheme val="minor"/>
    </font>
    <font>
      <b/>
      <sz val="14"/>
      <color rgb="FFFFFFFF"/>
      <name val="Aptos Narrow"/>
    </font>
    <font>
      <i/>
      <sz val="11"/>
      <color rgb="FF404040"/>
      <name val="Aptos Narrow"/>
    </font>
    <font>
      <b/>
      <sz val="11"/>
      <color rgb="FFFFFFFF"/>
      <name val="Aptos Narrow"/>
    </font>
    <font>
      <sz val="11"/>
      <color rgb="FF008000"/>
      <name val="Aptos Narrow"/>
    </font>
    <font>
      <sz val="11"/>
      <color rgb="FF0000FF"/>
      <name val="Aptos Narrow"/>
    </font>
    <font>
      <sz val="11"/>
      <color rgb="FF7030A0"/>
      <name val="Aptos Narrow"/>
    </font>
    <font>
      <sz val="11"/>
      <color rgb="FF000000"/>
      <name val="Aptos Narrow"/>
    </font>
    <font>
      <b/>
      <sz val="11"/>
      <name val="Aptos Narrow"/>
    </font>
    <font>
      <sz val="11"/>
      <name val="Aptos Narrow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 applyNumberFormat="0" applyFon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/>
    <xf numFmtId="0" fontId="4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5" fillId="0" borderId="0" xfId="1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4" fillId="0" borderId="0" xfId="0" applyFont="1" applyAlignment="1">
      <alignment horizontal="right" wrapText="1"/>
    </xf>
    <xf numFmtId="0" fontId="1" fillId="0" borderId="0" xfId="0" applyFont="1"/>
    <xf numFmtId="0" fontId="6" fillId="0" borderId="0" xfId="0" applyFont="1"/>
    <xf numFmtId="0" fontId="10" fillId="3" borderId="0" xfId="0" applyFont="1" applyFill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5" fillId="4" borderId="0" xfId="0" applyFont="1" applyFill="1" applyAlignment="1">
      <alignment horizontal="center"/>
    </xf>
    <xf numFmtId="0" fontId="16" fillId="0" borderId="0" xfId="0" applyFont="1"/>
    <xf numFmtId="164" fontId="14" fillId="0" borderId="0" xfId="0" applyNumberFormat="1" applyFont="1"/>
    <xf numFmtId="2" fontId="0" fillId="0" borderId="0" xfId="0" applyNumberFormat="1"/>
    <xf numFmtId="0" fontId="15" fillId="0" borderId="0" xfId="0" applyFont="1"/>
    <xf numFmtId="0" fontId="17" fillId="0" borderId="0" xfId="0" applyFont="1"/>
    <xf numFmtId="0" fontId="9" fillId="6" borderId="0" xfId="0" applyFont="1" applyFill="1"/>
    <xf numFmtId="0" fontId="0" fillId="6" borderId="0" xfId="0" applyFill="1"/>
    <xf numFmtId="0" fontId="0" fillId="0" borderId="0" xfId="0" applyAlignment="1">
      <alignment horizontal="center"/>
    </xf>
    <xf numFmtId="0" fontId="0" fillId="0" borderId="0" xfId="0"/>
    <xf numFmtId="0" fontId="3" fillId="0" borderId="0" xfId="1" applyAlignment="1">
      <alignment horizontal="center"/>
    </xf>
    <xf numFmtId="0" fontId="0" fillId="0" borderId="0" xfId="0" applyAlignment="1">
      <alignment wrapText="1"/>
    </xf>
    <xf numFmtId="0" fontId="8" fillId="3" borderId="0" xfId="0" applyFont="1" applyFill="1" applyAlignment="1">
      <alignment horizontal="left"/>
    </xf>
    <xf numFmtId="0" fontId="0" fillId="5" borderId="0" xfId="0" applyFill="1" applyAlignment="1">
      <alignment wrapText="1"/>
    </xf>
  </cellXfs>
  <cellStyles count="3">
    <cellStyle name="Default" xfId="2" xr:uid="{8C84BB49-B35C-4042-A912-4778DF12074D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660 nm MB Std Curve</a:t>
            </a:r>
          </a:p>
        </c:rich>
      </c:tx>
      <c:layout>
        <c:manualLayout>
          <c:xMode val="edge"/>
          <c:yMode val="edge"/>
          <c:x val="0.19860979514490151"/>
          <c:y val="4.1752669677753769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571066095384415"/>
          <c:y val="0.11846547147342755"/>
          <c:w val="0.83585682913602788"/>
          <c:h val="0.70868076469900321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noFill/>
              <a:prstDash val="solid"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5674616917698567"/>
                  <c:y val="-2.1502624884043191E-2"/>
                </c:manualLayout>
              </c:layout>
              <c:numFmt formatCode="General" sourceLinked="0"/>
            </c:trendlineLbl>
          </c:trendline>
          <c:xVal>
            <c:numRef>
              <c:f>'[1]240426_R_ 30rpm_1um_500_34oC'!$H$51:$N$51</c:f>
              <c:numCache>
                <c:formatCode>General</c:formatCode>
                <c:ptCount val="7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2.5</c:v>
                </c:pt>
                <c:pt idx="6">
                  <c:v>0</c:v>
                </c:pt>
              </c:numCache>
            </c:numRef>
          </c:xVal>
          <c:yVal>
            <c:numRef>
              <c:f>'[1]240426_R_ 30rpm_1um_500_34oC'!$H$53:$N$53</c:f>
              <c:numCache>
                <c:formatCode>General</c:formatCode>
                <c:ptCount val="7"/>
                <c:pt idx="0">
                  <c:v>2.375</c:v>
                </c:pt>
                <c:pt idx="1">
                  <c:v>1.9119999999999999</c:v>
                </c:pt>
                <c:pt idx="2">
                  <c:v>1.3939999999999999</c:v>
                </c:pt>
                <c:pt idx="3">
                  <c:v>0.98099999999999987</c:v>
                </c:pt>
                <c:pt idx="4">
                  <c:v>0.68699999999999994</c:v>
                </c:pt>
                <c:pt idx="5">
                  <c:v>0.377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D3-9D49-BDAB-AF7E5031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376960"/>
        <c:axId val="1"/>
      </c:scatterChart>
      <c:valAx>
        <c:axId val="163237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769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'Cumulative Release'!$B$28</c:f>
              <c:strCache>
                <c:ptCount val="1"/>
                <c:pt idx="0">
                  <c:v>P23-1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Release'!$C$28:$W$28</c:f>
              <c:numCache>
                <c:formatCode>0.00</c:formatCode>
                <c:ptCount val="21"/>
                <c:pt idx="0">
                  <c:v>-2.9316820083682011</c:v>
                </c:pt>
                <c:pt idx="1">
                  <c:v>-0.2615564853556489</c:v>
                </c:pt>
                <c:pt idx="2">
                  <c:v>0.90564016736401731</c:v>
                </c:pt>
                <c:pt idx="3">
                  <c:v>2.2735062761506279</c:v>
                </c:pt>
                <c:pt idx="4">
                  <c:v>3.3518326359832638</c:v>
                </c:pt>
                <c:pt idx="5">
                  <c:v>4.5059748953974914</c:v>
                </c:pt>
                <c:pt idx="6">
                  <c:v>5.3672301255230099</c:v>
                </c:pt>
                <c:pt idx="7">
                  <c:v>5.9930041841004167</c:v>
                </c:pt>
                <c:pt idx="8">
                  <c:v>6.9342594142259424</c:v>
                </c:pt>
                <c:pt idx="9">
                  <c:v>7.7640502092050214</c:v>
                </c:pt>
                <c:pt idx="10">
                  <c:v>8.7886527196652739</c:v>
                </c:pt>
                <c:pt idx="11">
                  <c:v>9.6410376569037677</c:v>
                </c:pt>
                <c:pt idx="12">
                  <c:v>10.31869456066946</c:v>
                </c:pt>
                <c:pt idx="13">
                  <c:v>11.496602510460249</c:v>
                </c:pt>
                <c:pt idx="14">
                  <c:v>12.935096234309624</c:v>
                </c:pt>
                <c:pt idx="15">
                  <c:v>13.467313807531381</c:v>
                </c:pt>
                <c:pt idx="16">
                  <c:v>14.743631799163182</c:v>
                </c:pt>
                <c:pt idx="17">
                  <c:v>15.357523012552299</c:v>
                </c:pt>
                <c:pt idx="18">
                  <c:v>16.162041841004186</c:v>
                </c:pt>
                <c:pt idx="19">
                  <c:v>17.714008368200837</c:v>
                </c:pt>
                <c:pt idx="20">
                  <c:v>18.853255230125523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DD-C648-A017-5112F32DECF5}"/>
            </c:ext>
          </c:extLst>
        </c:ser>
        <c:ser>
          <c:idx val="1"/>
          <c:order val="1"/>
          <c:tx>
            <c:strRef>
              <c:f>'Cumulative Release'!$B$29</c:f>
              <c:strCache>
                <c:ptCount val="1"/>
                <c:pt idx="0">
                  <c:v>P23-2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Release'!$C$29:$W$29</c:f>
              <c:numCache>
                <c:formatCode>0.00</c:formatCode>
                <c:ptCount val="21"/>
                <c:pt idx="0">
                  <c:v>-3.0527196652719666</c:v>
                </c:pt>
                <c:pt idx="1">
                  <c:v>-0.81472803347280331</c:v>
                </c:pt>
                <c:pt idx="2">
                  <c:v>0.58142259414225983</c:v>
                </c:pt>
                <c:pt idx="3">
                  <c:v>1.7273640167364015</c:v>
                </c:pt>
                <c:pt idx="4">
                  <c:v>2.9544769874476993</c:v>
                </c:pt>
                <c:pt idx="5">
                  <c:v>3.7949790794979079</c:v>
                </c:pt>
                <c:pt idx="6">
                  <c:v>4.5116317991631805</c:v>
                </c:pt>
                <c:pt idx="7">
                  <c:v>4.968870292887031</c:v>
                </c:pt>
                <c:pt idx="8">
                  <c:v>5.8997489539748944</c:v>
                </c:pt>
                <c:pt idx="9">
                  <c:v>6.6406694560669441</c:v>
                </c:pt>
                <c:pt idx="10">
                  <c:v>7.7246861924686199</c:v>
                </c:pt>
                <c:pt idx="11">
                  <c:v>8.754309623430963</c:v>
                </c:pt>
                <c:pt idx="12">
                  <c:v>10.331213389121343</c:v>
                </c:pt>
                <c:pt idx="13">
                  <c:v>11.257071129707112</c:v>
                </c:pt>
                <c:pt idx="14">
                  <c:v>11.992133891213388</c:v>
                </c:pt>
                <c:pt idx="15">
                  <c:v>12.935564853556485</c:v>
                </c:pt>
                <c:pt idx="16">
                  <c:v>14.223765690376569</c:v>
                </c:pt>
                <c:pt idx="17">
                  <c:v>15.258410041841005</c:v>
                </c:pt>
                <c:pt idx="18">
                  <c:v>15.768368200836825</c:v>
                </c:pt>
                <c:pt idx="19">
                  <c:v>17.286694560669456</c:v>
                </c:pt>
                <c:pt idx="20">
                  <c:v>19.223430962343098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DD-C648-A017-5112F32DECF5}"/>
            </c:ext>
          </c:extLst>
        </c:ser>
        <c:ser>
          <c:idx val="2"/>
          <c:order val="2"/>
          <c:tx>
            <c:strRef>
              <c:f>'Cumulative Release'!$B$30</c:f>
              <c:strCache>
                <c:ptCount val="1"/>
                <c:pt idx="0">
                  <c:v>P23-3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Release'!$C$30:$W$30</c:f>
              <c:numCache>
                <c:formatCode>0.00</c:formatCode>
                <c:ptCount val="21"/>
                <c:pt idx="0">
                  <c:v>-3.1196652719665274</c:v>
                </c:pt>
                <c:pt idx="1">
                  <c:v>-0.9494560669456068</c:v>
                </c:pt>
                <c:pt idx="2">
                  <c:v>1.1144769874476976</c:v>
                </c:pt>
                <c:pt idx="3">
                  <c:v>1.7984937238493721</c:v>
                </c:pt>
                <c:pt idx="4">
                  <c:v>2.8925523012552312</c:v>
                </c:pt>
                <c:pt idx="5">
                  <c:v>3.7322175732217571</c:v>
                </c:pt>
                <c:pt idx="6">
                  <c:v>4.3810878661087873</c:v>
                </c:pt>
                <c:pt idx="7">
                  <c:v>5.0374895397489547</c:v>
                </c:pt>
                <c:pt idx="8">
                  <c:v>6.1030962343096222</c:v>
                </c:pt>
                <c:pt idx="9">
                  <c:v>6.7126359832635982</c:v>
                </c:pt>
                <c:pt idx="10">
                  <c:v>7.7305439330543946</c:v>
                </c:pt>
                <c:pt idx="11">
                  <c:v>8.7601673640167377</c:v>
                </c:pt>
                <c:pt idx="12">
                  <c:v>10.069288702928873</c:v>
                </c:pt>
                <c:pt idx="13">
                  <c:v>10.790962343096238</c:v>
                </c:pt>
                <c:pt idx="14">
                  <c:v>12.055732217573221</c:v>
                </c:pt>
                <c:pt idx="15">
                  <c:v>12.86610878661088</c:v>
                </c:pt>
                <c:pt idx="16">
                  <c:v>13.818744769874481</c:v>
                </c:pt>
                <c:pt idx="17">
                  <c:v>14.982259414225943</c:v>
                </c:pt>
                <c:pt idx="18">
                  <c:v>15.62276150627615</c:v>
                </c:pt>
                <c:pt idx="19">
                  <c:v>16.938577405857743</c:v>
                </c:pt>
                <c:pt idx="20">
                  <c:v>18.268619246861928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DD-C648-A017-5112F32DECF5}"/>
            </c:ext>
          </c:extLst>
        </c:ser>
        <c:ser>
          <c:idx val="3"/>
          <c:order val="3"/>
          <c:tx>
            <c:strRef>
              <c:f>'Cumulative Release'!$B$31</c:f>
              <c:strCache>
                <c:ptCount val="1"/>
                <c:pt idx="0">
                  <c:v>P23-4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Release'!$C$31:$W$31</c:f>
              <c:numCache>
                <c:formatCode>0.00</c:formatCode>
                <c:ptCount val="21"/>
                <c:pt idx="0">
                  <c:v>-3.5052719665271974</c:v>
                </c:pt>
                <c:pt idx="1">
                  <c:v>-1.3358995815899584</c:v>
                </c:pt>
                <c:pt idx="2">
                  <c:v>0.41673640167364034</c:v>
                </c:pt>
                <c:pt idx="3">
                  <c:v>1.0848535564853565</c:v>
                </c:pt>
                <c:pt idx="4">
                  <c:v>1.6868619246861913</c:v>
                </c:pt>
                <c:pt idx="5">
                  <c:v>2.3692050209205018</c:v>
                </c:pt>
                <c:pt idx="6">
                  <c:v>3.1327196652719671</c:v>
                </c:pt>
                <c:pt idx="7">
                  <c:v>4.1255230125523017</c:v>
                </c:pt>
                <c:pt idx="8">
                  <c:v>4.4664435146443529</c:v>
                </c:pt>
                <c:pt idx="9">
                  <c:v>5.4734728033472821</c:v>
                </c:pt>
                <c:pt idx="10">
                  <c:v>6.2704602510460239</c:v>
                </c:pt>
                <c:pt idx="11">
                  <c:v>7.2967364016736385</c:v>
                </c:pt>
                <c:pt idx="12">
                  <c:v>8.7020920502092043</c:v>
                </c:pt>
                <c:pt idx="13">
                  <c:v>9.5333891213389137</c:v>
                </c:pt>
                <c:pt idx="14">
                  <c:v>10.446694560669458</c:v>
                </c:pt>
                <c:pt idx="15">
                  <c:v>11.295564853556488</c:v>
                </c:pt>
                <c:pt idx="16">
                  <c:v>12.447364016736401</c:v>
                </c:pt>
                <c:pt idx="17">
                  <c:v>13.831799163179918</c:v>
                </c:pt>
                <c:pt idx="18">
                  <c:v>14.862259414225942</c:v>
                </c:pt>
                <c:pt idx="19">
                  <c:v>16.860083682008373</c:v>
                </c:pt>
                <c:pt idx="20">
                  <c:v>17.626945606694562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DD-C648-A017-5112F32DE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Release'!$B$33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Release'!$C$33:$W$33</c:f>
              <c:numCache>
                <c:formatCode>0.00</c:formatCode>
                <c:ptCount val="21"/>
                <c:pt idx="0">
                  <c:v>-3.1523347280334733</c:v>
                </c:pt>
                <c:pt idx="1">
                  <c:v>-0.84041004184100432</c:v>
                </c:pt>
                <c:pt idx="2">
                  <c:v>0.75456903765690375</c:v>
                </c:pt>
                <c:pt idx="3">
                  <c:v>1.7210543933054394</c:v>
                </c:pt>
                <c:pt idx="4">
                  <c:v>2.7214309623430961</c:v>
                </c:pt>
                <c:pt idx="5">
                  <c:v>3.6005941422594145</c:v>
                </c:pt>
                <c:pt idx="6">
                  <c:v>4.3481673640167369</c:v>
                </c:pt>
                <c:pt idx="7">
                  <c:v>5.0312217573221751</c:v>
                </c:pt>
                <c:pt idx="8">
                  <c:v>5.8508870292887032</c:v>
                </c:pt>
                <c:pt idx="9">
                  <c:v>6.6477071129707115</c:v>
                </c:pt>
                <c:pt idx="10">
                  <c:v>7.6285857740585783</c:v>
                </c:pt>
                <c:pt idx="11">
                  <c:v>8.6130627615062778</c:v>
                </c:pt>
                <c:pt idx="12">
                  <c:v>9.8553221757322191</c:v>
                </c:pt>
                <c:pt idx="13">
                  <c:v>10.769506276150629</c:v>
                </c:pt>
                <c:pt idx="14">
                  <c:v>11.857414225941422</c:v>
                </c:pt>
                <c:pt idx="15">
                  <c:v>12.641138075313808</c:v>
                </c:pt>
                <c:pt idx="16">
                  <c:v>13.808376569037659</c:v>
                </c:pt>
                <c:pt idx="17">
                  <c:v>14.85749790794979</c:v>
                </c:pt>
                <c:pt idx="18">
                  <c:v>15.603857740585777</c:v>
                </c:pt>
                <c:pt idx="19">
                  <c:v>17.199841004184101</c:v>
                </c:pt>
                <c:pt idx="20">
                  <c:v>18.493062761506277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1C-7849-8620-EB8EEC4CC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3"/>
          <c:order val="0"/>
          <c:tx>
            <c:strRef>
              <c:f>'Cumulative Release'!$B$33</c:f>
              <c:strCache>
                <c:ptCount val="1"/>
                <c:pt idx="0">
                  <c:v>Average (%)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'Cumulative Release'!$C$27:$W$27</c:f>
              <c:numCache>
                <c:formatCode>General</c:formatCode>
                <c:ptCount val="21"/>
                <c:pt idx="0">
                  <c:v>17</c:v>
                </c:pt>
                <c:pt idx="1">
                  <c:v>34</c:v>
                </c:pt>
                <c:pt idx="2">
                  <c:v>51</c:v>
                </c:pt>
                <c:pt idx="3">
                  <c:v>68</c:v>
                </c:pt>
                <c:pt idx="4">
                  <c:v>85</c:v>
                </c:pt>
                <c:pt idx="5">
                  <c:v>102</c:v>
                </c:pt>
                <c:pt idx="6">
                  <c:v>119</c:v>
                </c:pt>
                <c:pt idx="7">
                  <c:v>136</c:v>
                </c:pt>
                <c:pt idx="8">
                  <c:v>153</c:v>
                </c:pt>
                <c:pt idx="9">
                  <c:v>170</c:v>
                </c:pt>
                <c:pt idx="10">
                  <c:v>187</c:v>
                </c:pt>
                <c:pt idx="11">
                  <c:v>204</c:v>
                </c:pt>
                <c:pt idx="12">
                  <c:v>221</c:v>
                </c:pt>
                <c:pt idx="13">
                  <c:v>238</c:v>
                </c:pt>
                <c:pt idx="14">
                  <c:v>255</c:v>
                </c:pt>
                <c:pt idx="15">
                  <c:v>272</c:v>
                </c:pt>
                <c:pt idx="16">
                  <c:v>289</c:v>
                </c:pt>
                <c:pt idx="17">
                  <c:v>306</c:v>
                </c:pt>
                <c:pt idx="18">
                  <c:v>323</c:v>
                </c:pt>
                <c:pt idx="19">
                  <c:v>340</c:v>
                </c:pt>
                <c:pt idx="20">
                  <c:v>357</c:v>
                </c:pt>
              </c:numCache>
            </c:numRef>
          </c:xVal>
          <c:yVal>
            <c:numRef>
              <c:f>'Cumulative Release'!$C$24:$W$24</c:f>
              <c:numCache>
                <c:formatCode>0.000</c:formatCode>
                <c:ptCount val="21"/>
                <c:pt idx="0">
                  <c:v>-8.7631799163179931</c:v>
                </c:pt>
                <c:pt idx="1">
                  <c:v>-3.3397489539748961</c:v>
                </c:pt>
                <c:pt idx="2">
                  <c:v>1.0418410041841009</c:v>
                </c:pt>
                <c:pt idx="3">
                  <c:v>2.7121338912133917</c:v>
                </c:pt>
                <c:pt idx="4">
                  <c:v>4.2171548117154787</c:v>
                </c:pt>
                <c:pt idx="5">
                  <c:v>5.9230125523012545</c:v>
                </c:pt>
                <c:pt idx="6">
                  <c:v>7.8317991631799178</c:v>
                </c:pt>
                <c:pt idx="7">
                  <c:v>10.313807531380753</c:v>
                </c:pt>
                <c:pt idx="8">
                  <c:v>11.166108786610881</c:v>
                </c:pt>
                <c:pt idx="9">
                  <c:v>13.683682008368205</c:v>
                </c:pt>
                <c:pt idx="10">
                  <c:v>15.67615062761506</c:v>
                </c:pt>
                <c:pt idx="11">
                  <c:v>18.241841004184096</c:v>
                </c:pt>
                <c:pt idx="12">
                  <c:v>21.755230125523013</c:v>
                </c:pt>
                <c:pt idx="13">
                  <c:v>23.833472803347284</c:v>
                </c:pt>
                <c:pt idx="14">
                  <c:v>26.116736401673645</c:v>
                </c:pt>
                <c:pt idx="15">
                  <c:v>28.238912133891219</c:v>
                </c:pt>
                <c:pt idx="16">
                  <c:v>31.118410041841003</c:v>
                </c:pt>
                <c:pt idx="17">
                  <c:v>34.579497907949794</c:v>
                </c:pt>
                <c:pt idx="18">
                  <c:v>37.155648535564858</c:v>
                </c:pt>
                <c:pt idx="19">
                  <c:v>42.150209205020928</c:v>
                </c:pt>
                <c:pt idx="20">
                  <c:v>44.067364016736398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4-F04E-84C3-8068895DA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726207"/>
        <c:axId val="518245887"/>
      </c:scatterChart>
      <c:valAx>
        <c:axId val="5167262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45887"/>
        <c:crosses val="autoZero"/>
        <c:crossBetween val="midCat"/>
      </c:valAx>
      <c:valAx>
        <c:axId val="51824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release (%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72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192707</xdr:rowOff>
    </xdr:from>
    <xdr:to>
      <xdr:col>7</xdr:col>
      <xdr:colOff>627822</xdr:colOff>
      <xdr:row>36</xdr:row>
      <xdr:rowOff>110434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687345</xdr:colOff>
      <xdr:row>38</xdr:row>
      <xdr:rowOff>63885</xdr:rowOff>
    </xdr:from>
    <xdr:to>
      <xdr:col>17</xdr:col>
      <xdr:colOff>3078</xdr:colOff>
      <xdr:row>55</xdr:row>
      <xdr:rowOff>90054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F892D-120B-BB2C-BCE2-FF6F6983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596349</xdr:colOff>
      <xdr:row>38</xdr:row>
      <xdr:rowOff>0</xdr:rowOff>
    </xdr:from>
    <xdr:to>
      <xdr:col>27</xdr:col>
      <xdr:colOff>409038</xdr:colOff>
      <xdr:row>55</xdr:row>
      <xdr:rowOff>26169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01838E-20D8-5449-9F18-F214C35A5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279400</xdr:colOff>
      <xdr:row>26</xdr:row>
      <xdr:rowOff>101600</xdr:rowOff>
    </xdr:from>
    <xdr:to>
      <xdr:col>39</xdr:col>
      <xdr:colOff>574689</xdr:colOff>
      <xdr:row>40</xdr:row>
      <xdr:rowOff>102369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03E736-0F1C-B945-8FA1-5DDDC9943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30426_R_ 30rpm_1um_500_34oC_3h"/>
      <sheetName val="240426_R_ 30rpm_1um_500_34oC"/>
      <sheetName val="Flow sensor data"/>
      <sheetName val="270426_R_1um_500_34_17P (2)"/>
      <sheetName val="270426_R_1um_500_34_17P"/>
      <sheetName val="280426_R_0_4um_500_34_10_17P"/>
      <sheetName val="Compilation"/>
      <sheetName val="290426_15Vs17_Setup 2_32oC"/>
      <sheetName val="08052026_Glycerol parralelisati"/>
      <sheetName val="Compile ug MB ALL Release"/>
    </sheetNames>
    <sheetDataSet>
      <sheetData sheetId="0"/>
      <sheetData sheetId="1">
        <row r="34">
          <cell r="C34">
            <v>0</v>
          </cell>
        </row>
        <row r="51">
          <cell r="H51">
            <v>20</v>
          </cell>
          <cell r="I51">
            <v>15</v>
          </cell>
          <cell r="J51">
            <v>10</v>
          </cell>
          <cell r="K51">
            <v>7.5</v>
          </cell>
          <cell r="L51">
            <v>5</v>
          </cell>
          <cell r="M51">
            <v>2.5</v>
          </cell>
          <cell r="N51">
            <v>0</v>
          </cell>
        </row>
        <row r="53">
          <cell r="H53">
            <v>2.375</v>
          </cell>
          <cell r="I53">
            <v>1.9119999999999999</v>
          </cell>
          <cell r="J53">
            <v>1.3939999999999999</v>
          </cell>
          <cell r="K53">
            <v>0.98099999999999987</v>
          </cell>
          <cell r="L53">
            <v>0.68699999999999994</v>
          </cell>
          <cell r="M53">
            <v>0.377</v>
          </cell>
          <cell r="N53">
            <v>0</v>
          </cell>
        </row>
      </sheetData>
      <sheetData sheetId="2"/>
      <sheetData sheetId="3">
        <row r="3">
          <cell r="C3">
            <v>17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zoomScale="125" workbookViewId="0">
      <selection activeCell="C1" sqref="C1:Z1"/>
    </sheetView>
  </sheetViews>
  <sheetFormatPr baseColWidth="10" defaultRowHeight="15"/>
  <sheetData>
    <row r="1" spans="1:26">
      <c r="A1" t="s">
        <v>59</v>
      </c>
      <c r="C1" s="25" t="s">
        <v>58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3" spans="1:26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6">
      <c r="A4" s="2" t="s">
        <v>0</v>
      </c>
      <c r="B4" s="14">
        <v>7.6999999999999999E-2</v>
      </c>
      <c r="C4" s="14">
        <v>0.121</v>
      </c>
      <c r="D4" s="14">
        <v>0.14000000000000001</v>
      </c>
      <c r="E4" s="14">
        <v>0.16200000000000001</v>
      </c>
      <c r="F4" s="14">
        <v>0.17899999999999999</v>
      </c>
      <c r="G4" s="14">
        <v>0.19700000000000001</v>
      </c>
      <c r="H4" s="14">
        <v>0.21</v>
      </c>
      <c r="I4" s="14">
        <v>0.219</v>
      </c>
      <c r="J4" s="14">
        <v>0.23300000000000001</v>
      </c>
      <c r="K4" s="14">
        <v>0.245</v>
      </c>
      <c r="L4" s="14">
        <v>0.26</v>
      </c>
      <c r="M4" s="14">
        <v>0.27200000000000002</v>
      </c>
      <c r="N4" s="3">
        <v>660</v>
      </c>
    </row>
    <row r="5" spans="1:26">
      <c r="A5" s="2" t="s">
        <v>1</v>
      </c>
      <c r="B5" s="14">
        <v>7.9000000000000001E-2</v>
      </c>
      <c r="C5" s="14">
        <v>0.113</v>
      </c>
      <c r="D5" s="14">
        <v>0.13400000000000001</v>
      </c>
      <c r="E5" s="14">
        <v>0.151</v>
      </c>
      <c r="F5" s="14">
        <v>0.16900000000000001</v>
      </c>
      <c r="G5" s="14">
        <v>0.18099999999999999</v>
      </c>
      <c r="H5" s="14">
        <v>0.191</v>
      </c>
      <c r="I5" s="14">
        <v>0.19700000000000001</v>
      </c>
      <c r="J5" s="14">
        <v>0.21</v>
      </c>
      <c r="K5" s="14">
        <v>0.22</v>
      </c>
      <c r="L5" s="14">
        <v>0.23499999999999999</v>
      </c>
      <c r="M5" s="14">
        <v>0.249</v>
      </c>
      <c r="N5" s="3">
        <v>660</v>
      </c>
    </row>
    <row r="6" spans="1:26">
      <c r="A6" s="2" t="s">
        <v>2</v>
      </c>
      <c r="B6" s="14">
        <v>7.8E-2</v>
      </c>
      <c r="C6" s="14">
        <v>0.111</v>
      </c>
      <c r="D6" s="14">
        <v>0.14199999999999999</v>
      </c>
      <c r="E6" s="14">
        <v>0.152</v>
      </c>
      <c r="F6" s="14">
        <v>0.16800000000000001</v>
      </c>
      <c r="G6" s="14">
        <v>0.18</v>
      </c>
      <c r="H6" s="14">
        <v>0.189</v>
      </c>
      <c r="I6" s="14">
        <v>0.19800000000000001</v>
      </c>
      <c r="J6" s="14">
        <v>0.21299999999999999</v>
      </c>
      <c r="K6" s="14">
        <v>0.221</v>
      </c>
      <c r="L6" s="14">
        <v>0.23499999999999999</v>
      </c>
      <c r="M6" s="14">
        <v>0.249</v>
      </c>
      <c r="N6" s="3">
        <v>660</v>
      </c>
    </row>
    <row r="7" spans="1:26">
      <c r="A7" s="2" t="s">
        <v>3</v>
      </c>
      <c r="B7" s="14">
        <v>7.6999999999999999E-2</v>
      </c>
      <c r="C7" s="14">
        <v>0.107</v>
      </c>
      <c r="D7" s="14">
        <v>0.13100000000000001</v>
      </c>
      <c r="E7" s="14">
        <v>0.14000000000000001</v>
      </c>
      <c r="F7" s="14">
        <v>0.14799999999999999</v>
      </c>
      <c r="G7" s="14">
        <v>0.157</v>
      </c>
      <c r="H7" s="14">
        <v>0.16700000000000001</v>
      </c>
      <c r="I7" s="14">
        <v>0.18</v>
      </c>
      <c r="J7" s="14">
        <v>0.184</v>
      </c>
      <c r="K7" s="14">
        <v>0.19700000000000001</v>
      </c>
      <c r="L7" s="14">
        <v>0.20699999999999999</v>
      </c>
      <c r="M7" s="14">
        <v>0.22</v>
      </c>
      <c r="N7" s="3">
        <v>660</v>
      </c>
    </row>
    <row r="8" spans="1:26">
      <c r="A8" s="2" t="s">
        <v>4</v>
      </c>
      <c r="B8" s="14">
        <v>0.28100000000000003</v>
      </c>
      <c r="C8" s="14">
        <v>0.29799999999999999</v>
      </c>
      <c r="D8" s="14">
        <v>0.31900000000000001</v>
      </c>
      <c r="E8" s="14">
        <v>0.32500000000000001</v>
      </c>
      <c r="F8" s="14">
        <v>0.34300000000000003</v>
      </c>
      <c r="G8" s="14">
        <v>0.35</v>
      </c>
      <c r="H8" s="14">
        <v>0.36</v>
      </c>
      <c r="I8" s="14">
        <v>0.38200000000000001</v>
      </c>
      <c r="J8" s="14">
        <v>0.39700000000000002</v>
      </c>
      <c r="K8" s="14">
        <v>0.41699999999999998</v>
      </c>
      <c r="L8" s="14">
        <v>0.442</v>
      </c>
      <c r="M8" s="14">
        <v>0.47899999999999998</v>
      </c>
      <c r="N8" s="3">
        <v>660</v>
      </c>
    </row>
    <row r="9" spans="1:26">
      <c r="A9" s="2" t="s">
        <v>5</v>
      </c>
      <c r="B9" s="14">
        <v>0.27100000000000002</v>
      </c>
      <c r="C9" s="14">
        <v>0.28299999999999997</v>
      </c>
      <c r="D9" s="14">
        <v>0.29199999999999998</v>
      </c>
      <c r="E9" s="14">
        <v>0.30399999999999999</v>
      </c>
      <c r="F9" s="14">
        <v>0.32100000000000001</v>
      </c>
      <c r="G9" s="14">
        <v>0.33400000000000002</v>
      </c>
      <c r="H9" s="14">
        <v>0.33900000000000002</v>
      </c>
      <c r="I9" s="14">
        <v>0.35899999999999999</v>
      </c>
      <c r="J9" s="14">
        <v>0.38500000000000001</v>
      </c>
      <c r="K9" s="14">
        <v>0.40699999999999997</v>
      </c>
      <c r="L9" s="14">
        <v>0.434</v>
      </c>
      <c r="M9" s="14">
        <v>0.48699999999999999</v>
      </c>
      <c r="N9" s="3">
        <v>660</v>
      </c>
    </row>
    <row r="10" spans="1:26">
      <c r="A10" s="2" t="s">
        <v>6</v>
      </c>
      <c r="B10" s="14">
        <v>0.26700000000000002</v>
      </c>
      <c r="C10" s="14">
        <v>0.27600000000000002</v>
      </c>
      <c r="D10" s="14">
        <v>0.29299999999999998</v>
      </c>
      <c r="E10" s="14">
        <v>0.30299999999999999</v>
      </c>
      <c r="F10" s="14">
        <v>0.315</v>
      </c>
      <c r="G10" s="14">
        <v>0.33</v>
      </c>
      <c r="H10" s="14">
        <v>0.33700000000000002</v>
      </c>
      <c r="I10" s="14">
        <v>0.35399999999999998</v>
      </c>
      <c r="J10" s="14">
        <v>0.371</v>
      </c>
      <c r="K10" s="14">
        <v>0.38800000000000001</v>
      </c>
      <c r="L10" s="14">
        <v>0.40799999999999997</v>
      </c>
      <c r="M10" s="14">
        <v>0.46500000000000002</v>
      </c>
      <c r="N10" s="3">
        <v>660</v>
      </c>
    </row>
    <row r="11" spans="1:26">
      <c r="A11" s="2" t="s">
        <v>7</v>
      </c>
      <c r="B11" s="14">
        <v>0.23799999999999999</v>
      </c>
      <c r="C11" s="14">
        <v>0.248</v>
      </c>
      <c r="D11" s="14">
        <v>0.25900000000000001</v>
      </c>
      <c r="E11" s="14">
        <v>0.26900000000000002</v>
      </c>
      <c r="F11" s="14">
        <v>0.28299999999999997</v>
      </c>
      <c r="G11" s="14">
        <v>0.3</v>
      </c>
      <c r="H11" s="14">
        <v>0.312</v>
      </c>
      <c r="I11" s="14">
        <v>0.33700000000000002</v>
      </c>
      <c r="J11" s="14">
        <v>0.34499999999999997</v>
      </c>
      <c r="K11" s="14">
        <v>0.35099999999999998</v>
      </c>
      <c r="L11" s="14">
        <v>0.38</v>
      </c>
      <c r="M11" s="14">
        <v>0.441</v>
      </c>
      <c r="N11" s="3">
        <v>660</v>
      </c>
    </row>
    <row r="20" spans="2:1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2:15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spans="2:1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spans="2:15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spans="2:15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</sheetData>
  <mergeCells count="1">
    <mergeCell ref="C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zoomScale="172" workbookViewId="0">
      <selection activeCell="B5" sqref="B5"/>
    </sheetView>
  </sheetViews>
  <sheetFormatPr baseColWidth="10" defaultColWidth="8.83203125" defaultRowHeight="15"/>
  <cols>
    <col min="1" max="1" width="12" customWidth="1"/>
    <col min="2" max="2" width="10.33203125" customWidth="1"/>
  </cols>
  <sheetData>
    <row r="1" spans="1:26">
      <c r="C1" s="25" t="s">
        <v>58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3" spans="1:26">
      <c r="A3" s="1"/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6">
      <c r="A4" s="2" t="s">
        <v>0</v>
      </c>
      <c r="B4" s="14">
        <f>'Sheet 1'!B4</f>
        <v>7.6999999999999999E-2</v>
      </c>
      <c r="C4" s="14">
        <f>'Sheet 1'!C4</f>
        <v>0.121</v>
      </c>
      <c r="D4" s="14">
        <f>'Sheet 1'!D4</f>
        <v>0.14000000000000001</v>
      </c>
      <c r="E4" s="14">
        <f>'Sheet 1'!E4</f>
        <v>0.16200000000000001</v>
      </c>
      <c r="F4" s="14">
        <f>'Sheet 1'!F4</f>
        <v>0.17899999999999999</v>
      </c>
      <c r="G4" s="14">
        <f>'Sheet 1'!G4</f>
        <v>0.19700000000000001</v>
      </c>
      <c r="H4" s="14">
        <f>'Sheet 1'!H4</f>
        <v>0.21</v>
      </c>
      <c r="I4" s="14">
        <f>'Sheet 1'!I4</f>
        <v>0.219</v>
      </c>
      <c r="J4" s="14">
        <f>'Sheet 1'!J4</f>
        <v>0.23300000000000001</v>
      </c>
      <c r="K4" s="14">
        <f>'Sheet 1'!K4</f>
        <v>0.245</v>
      </c>
      <c r="L4" s="14">
        <f>'Sheet 1'!L4</f>
        <v>0.26</v>
      </c>
      <c r="M4" s="14">
        <f>'Sheet 1'!M4</f>
        <v>0.27200000000000002</v>
      </c>
      <c r="N4" s="3">
        <v>660</v>
      </c>
    </row>
    <row r="5" spans="1:26">
      <c r="A5" s="2" t="s">
        <v>1</v>
      </c>
      <c r="B5" s="14">
        <f>'Sheet 1'!B5</f>
        <v>7.9000000000000001E-2</v>
      </c>
      <c r="C5" s="14">
        <f>'Sheet 1'!C5</f>
        <v>0.113</v>
      </c>
      <c r="D5" s="14">
        <f>'Sheet 1'!D5</f>
        <v>0.13400000000000001</v>
      </c>
      <c r="E5" s="14">
        <f>'Sheet 1'!E5</f>
        <v>0.151</v>
      </c>
      <c r="F5" s="14">
        <f>'Sheet 1'!F5</f>
        <v>0.16900000000000001</v>
      </c>
      <c r="G5" s="14">
        <f>'Sheet 1'!G5</f>
        <v>0.18099999999999999</v>
      </c>
      <c r="H5" s="14">
        <f>'Sheet 1'!H5</f>
        <v>0.191</v>
      </c>
      <c r="I5" s="14">
        <f>'Sheet 1'!I5</f>
        <v>0.19700000000000001</v>
      </c>
      <c r="J5" s="14">
        <f>'Sheet 1'!J5</f>
        <v>0.21</v>
      </c>
      <c r="K5" s="14">
        <f>'Sheet 1'!K5</f>
        <v>0.22</v>
      </c>
      <c r="L5" s="14">
        <f>'Sheet 1'!L5</f>
        <v>0.23499999999999999</v>
      </c>
      <c r="M5" s="14">
        <f>'Sheet 1'!M5</f>
        <v>0.249</v>
      </c>
      <c r="N5" s="3">
        <v>660</v>
      </c>
    </row>
    <row r="6" spans="1:26">
      <c r="A6" s="2" t="s">
        <v>2</v>
      </c>
      <c r="B6" s="14">
        <f>'Sheet 1'!B6</f>
        <v>7.8E-2</v>
      </c>
      <c r="C6" s="14">
        <f>'Sheet 1'!C6</f>
        <v>0.111</v>
      </c>
      <c r="D6" s="14">
        <f>'Sheet 1'!D6</f>
        <v>0.14199999999999999</v>
      </c>
      <c r="E6" s="14">
        <f>'Sheet 1'!E6</f>
        <v>0.152</v>
      </c>
      <c r="F6" s="14">
        <f>'Sheet 1'!F6</f>
        <v>0.16800000000000001</v>
      </c>
      <c r="G6" s="14">
        <f>'Sheet 1'!G6</f>
        <v>0.18</v>
      </c>
      <c r="H6" s="14">
        <f>'Sheet 1'!H6</f>
        <v>0.189</v>
      </c>
      <c r="I6" s="14">
        <f>'Sheet 1'!I6</f>
        <v>0.19800000000000001</v>
      </c>
      <c r="J6" s="14">
        <f>'Sheet 1'!J6</f>
        <v>0.21299999999999999</v>
      </c>
      <c r="K6" s="14">
        <f>'Sheet 1'!K6</f>
        <v>0.221</v>
      </c>
      <c r="L6" s="14">
        <f>'Sheet 1'!L6</f>
        <v>0.23499999999999999</v>
      </c>
      <c r="M6" s="14">
        <f>'Sheet 1'!M6</f>
        <v>0.249</v>
      </c>
      <c r="N6" s="3">
        <v>660</v>
      </c>
    </row>
    <row r="7" spans="1:26">
      <c r="A7" s="2" t="s">
        <v>3</v>
      </c>
      <c r="B7" s="14">
        <f>'Sheet 1'!B7</f>
        <v>7.6999999999999999E-2</v>
      </c>
      <c r="C7" s="14">
        <f>'Sheet 1'!C7</f>
        <v>0.107</v>
      </c>
      <c r="D7" s="14">
        <f>'Sheet 1'!D7</f>
        <v>0.13100000000000001</v>
      </c>
      <c r="E7" s="14">
        <f>'Sheet 1'!E7</f>
        <v>0.14000000000000001</v>
      </c>
      <c r="F7" s="14">
        <f>'Sheet 1'!F7</f>
        <v>0.14799999999999999</v>
      </c>
      <c r="G7" s="14">
        <f>'Sheet 1'!G7</f>
        <v>0.157</v>
      </c>
      <c r="H7" s="14">
        <f>'Sheet 1'!H7</f>
        <v>0.16700000000000001</v>
      </c>
      <c r="I7" s="14">
        <f>'Sheet 1'!I7</f>
        <v>0.18</v>
      </c>
      <c r="J7" s="14">
        <f>'Sheet 1'!J7</f>
        <v>0.184</v>
      </c>
      <c r="K7" s="14">
        <f>'Sheet 1'!K7</f>
        <v>0.19700000000000001</v>
      </c>
      <c r="L7" s="14">
        <f>'Sheet 1'!L7</f>
        <v>0.20699999999999999</v>
      </c>
      <c r="M7" s="14">
        <f>'Sheet 1'!M7</f>
        <v>0.22</v>
      </c>
      <c r="N7" s="3">
        <v>660</v>
      </c>
    </row>
    <row r="8" spans="1:26">
      <c r="A8" s="2" t="s">
        <v>4</v>
      </c>
      <c r="B8" s="14">
        <f>'Sheet 1'!B8</f>
        <v>0.28100000000000003</v>
      </c>
      <c r="C8" s="14">
        <f>'Sheet 1'!C8</f>
        <v>0.29799999999999999</v>
      </c>
      <c r="D8" s="14">
        <f>'Sheet 1'!D8</f>
        <v>0.31900000000000001</v>
      </c>
      <c r="E8" s="14">
        <f>'Sheet 1'!E8</f>
        <v>0.32500000000000001</v>
      </c>
      <c r="F8" s="14">
        <f>'Sheet 1'!F8</f>
        <v>0.34300000000000003</v>
      </c>
      <c r="G8" s="14">
        <f>'Sheet 1'!G8</f>
        <v>0.35</v>
      </c>
      <c r="H8" s="14">
        <f>'Sheet 1'!H8</f>
        <v>0.36</v>
      </c>
      <c r="I8" s="14">
        <f>'Sheet 1'!I8</f>
        <v>0.38200000000000001</v>
      </c>
      <c r="J8" s="14">
        <f>'Sheet 1'!J8</f>
        <v>0.39700000000000002</v>
      </c>
      <c r="K8" s="14">
        <f>'Sheet 1'!K8</f>
        <v>0.41699999999999998</v>
      </c>
      <c r="L8" s="14">
        <f>'Sheet 1'!L8</f>
        <v>0.442</v>
      </c>
      <c r="M8" s="14">
        <f>'Sheet 1'!M8</f>
        <v>0.47899999999999998</v>
      </c>
      <c r="N8" s="3">
        <v>660</v>
      </c>
    </row>
    <row r="9" spans="1:26">
      <c r="A9" s="2" t="s">
        <v>5</v>
      </c>
      <c r="B9" s="14">
        <f>'Sheet 1'!B9</f>
        <v>0.27100000000000002</v>
      </c>
      <c r="C9" s="14">
        <f>'Sheet 1'!C9</f>
        <v>0.28299999999999997</v>
      </c>
      <c r="D9" s="14">
        <f>'Sheet 1'!D9</f>
        <v>0.29199999999999998</v>
      </c>
      <c r="E9" s="14">
        <f>'Sheet 1'!E9</f>
        <v>0.30399999999999999</v>
      </c>
      <c r="F9" s="14">
        <f>'Sheet 1'!F9</f>
        <v>0.32100000000000001</v>
      </c>
      <c r="G9" s="14">
        <f>'Sheet 1'!G9</f>
        <v>0.33400000000000002</v>
      </c>
      <c r="H9" s="14">
        <f>'Sheet 1'!H9</f>
        <v>0.33900000000000002</v>
      </c>
      <c r="I9" s="14">
        <f>'Sheet 1'!I9</f>
        <v>0.35899999999999999</v>
      </c>
      <c r="J9" s="14">
        <f>'Sheet 1'!J9</f>
        <v>0.38500000000000001</v>
      </c>
      <c r="K9" s="14">
        <f>'Sheet 1'!K9</f>
        <v>0.40699999999999997</v>
      </c>
      <c r="L9" s="14">
        <f>'Sheet 1'!L9</f>
        <v>0.434</v>
      </c>
      <c r="M9" s="14">
        <f>'Sheet 1'!M9</f>
        <v>0.48699999999999999</v>
      </c>
      <c r="N9" s="3">
        <v>660</v>
      </c>
    </row>
    <row r="10" spans="1:26">
      <c r="A10" s="2" t="s">
        <v>6</v>
      </c>
      <c r="B10" s="14">
        <f>'Sheet 1'!B10</f>
        <v>0.26700000000000002</v>
      </c>
      <c r="C10" s="14">
        <f>'Sheet 1'!C10</f>
        <v>0.27600000000000002</v>
      </c>
      <c r="D10" s="14">
        <f>'Sheet 1'!D10</f>
        <v>0.29299999999999998</v>
      </c>
      <c r="E10" s="14">
        <f>'Sheet 1'!E10</f>
        <v>0.30299999999999999</v>
      </c>
      <c r="F10" s="14">
        <f>'Sheet 1'!F10</f>
        <v>0.315</v>
      </c>
      <c r="G10" s="14">
        <f>'Sheet 1'!G10</f>
        <v>0.33</v>
      </c>
      <c r="H10" s="14">
        <f>'Sheet 1'!H10</f>
        <v>0.33700000000000002</v>
      </c>
      <c r="I10" s="14">
        <f>'Sheet 1'!I10</f>
        <v>0.35399999999999998</v>
      </c>
      <c r="J10" s="14">
        <f>'Sheet 1'!J10</f>
        <v>0.371</v>
      </c>
      <c r="K10" s="14">
        <f>'Sheet 1'!K10</f>
        <v>0.38800000000000001</v>
      </c>
      <c r="L10" s="14">
        <f>'Sheet 1'!L10</f>
        <v>0.40799999999999997</v>
      </c>
      <c r="M10" s="14">
        <f>'Sheet 1'!M10</f>
        <v>0.46500000000000002</v>
      </c>
      <c r="N10" s="3">
        <v>660</v>
      </c>
    </row>
    <row r="11" spans="1:26">
      <c r="A11" s="2" t="s">
        <v>7</v>
      </c>
      <c r="B11" s="14">
        <f>'Sheet 1'!B11</f>
        <v>0.23799999999999999</v>
      </c>
      <c r="C11" s="14">
        <f>'Sheet 1'!C11</f>
        <v>0.248</v>
      </c>
      <c r="D11" s="14">
        <f>'Sheet 1'!D11</f>
        <v>0.25900000000000001</v>
      </c>
      <c r="E11" s="14">
        <f>'Sheet 1'!E11</f>
        <v>0.26900000000000002</v>
      </c>
      <c r="F11" s="14">
        <f>'Sheet 1'!F11</f>
        <v>0.28299999999999997</v>
      </c>
      <c r="G11" s="14">
        <f>'Sheet 1'!G11</f>
        <v>0.3</v>
      </c>
      <c r="H11" s="14">
        <f>'Sheet 1'!H11</f>
        <v>0.312</v>
      </c>
      <c r="I11" s="14">
        <f>'Sheet 1'!I11</f>
        <v>0.33700000000000002</v>
      </c>
      <c r="J11" s="14">
        <f>'Sheet 1'!J11</f>
        <v>0.34499999999999997</v>
      </c>
      <c r="K11" s="14">
        <f>'Sheet 1'!K11</f>
        <v>0.35099999999999998</v>
      </c>
      <c r="L11" s="14">
        <f>'Sheet 1'!L11</f>
        <v>0.38</v>
      </c>
      <c r="M11" s="14">
        <f>'Sheet 1'!M11</f>
        <v>0.441</v>
      </c>
      <c r="N11" s="3">
        <v>660</v>
      </c>
    </row>
    <row r="16" spans="1:26" ht="16" customHeight="1">
      <c r="A16" s="1" t="s">
        <v>8</v>
      </c>
      <c r="B16" s="5">
        <v>17</v>
      </c>
      <c r="C16" s="5">
        <f t="shared" ref="C16:M16" si="0">B16+17</f>
        <v>34</v>
      </c>
      <c r="D16" s="5">
        <f t="shared" si="0"/>
        <v>51</v>
      </c>
      <c r="E16" s="5">
        <f t="shared" si="0"/>
        <v>68</v>
      </c>
      <c r="F16" s="5">
        <f t="shared" si="0"/>
        <v>85</v>
      </c>
      <c r="G16" s="5">
        <f t="shared" si="0"/>
        <v>102</v>
      </c>
      <c r="H16" s="5">
        <f t="shared" si="0"/>
        <v>119</v>
      </c>
      <c r="I16" s="5">
        <f t="shared" si="0"/>
        <v>136</v>
      </c>
      <c r="J16" s="5">
        <f t="shared" si="0"/>
        <v>153</v>
      </c>
      <c r="K16" s="5">
        <f t="shared" si="0"/>
        <v>170</v>
      </c>
      <c r="L16" s="5">
        <f t="shared" si="0"/>
        <v>187</v>
      </c>
      <c r="M16" s="5">
        <f t="shared" si="0"/>
        <v>204</v>
      </c>
    </row>
    <row r="17" spans="1:14">
      <c r="A17" s="2" t="s">
        <v>9</v>
      </c>
      <c r="B17" s="5">
        <f t="shared" ref="B17:M17" si="1">B4</f>
        <v>7.6999999999999999E-2</v>
      </c>
      <c r="C17" s="5">
        <f t="shared" si="1"/>
        <v>0.121</v>
      </c>
      <c r="D17" s="5">
        <f t="shared" si="1"/>
        <v>0.14000000000000001</v>
      </c>
      <c r="E17" s="5">
        <f t="shared" si="1"/>
        <v>0.16200000000000001</v>
      </c>
      <c r="F17" s="5">
        <f t="shared" si="1"/>
        <v>0.17899999999999999</v>
      </c>
      <c r="G17" s="5">
        <f t="shared" si="1"/>
        <v>0.19700000000000001</v>
      </c>
      <c r="H17" s="5">
        <f t="shared" si="1"/>
        <v>0.21</v>
      </c>
      <c r="I17" s="5">
        <f t="shared" si="1"/>
        <v>0.219</v>
      </c>
      <c r="J17" s="5">
        <f t="shared" si="1"/>
        <v>0.23300000000000001</v>
      </c>
      <c r="K17" s="5">
        <f t="shared" si="1"/>
        <v>0.245</v>
      </c>
      <c r="L17" s="5">
        <f t="shared" si="1"/>
        <v>0.26</v>
      </c>
      <c r="M17" s="5">
        <f t="shared" si="1"/>
        <v>0.27200000000000002</v>
      </c>
    </row>
    <row r="18" spans="1:14">
      <c r="A18" s="2" t="s">
        <v>10</v>
      </c>
      <c r="B18" s="5">
        <f t="shared" ref="B18:M18" si="2">B5</f>
        <v>7.9000000000000001E-2</v>
      </c>
      <c r="C18" s="5">
        <f t="shared" si="2"/>
        <v>0.113</v>
      </c>
      <c r="D18" s="5">
        <f t="shared" si="2"/>
        <v>0.13400000000000001</v>
      </c>
      <c r="E18" s="5">
        <f t="shared" si="2"/>
        <v>0.151</v>
      </c>
      <c r="F18" s="5">
        <f t="shared" si="2"/>
        <v>0.16900000000000001</v>
      </c>
      <c r="G18" s="5">
        <f t="shared" si="2"/>
        <v>0.18099999999999999</v>
      </c>
      <c r="H18" s="5">
        <f t="shared" si="2"/>
        <v>0.191</v>
      </c>
      <c r="I18" s="5">
        <f t="shared" si="2"/>
        <v>0.19700000000000001</v>
      </c>
      <c r="J18" s="5">
        <f t="shared" si="2"/>
        <v>0.21</v>
      </c>
      <c r="K18" s="5">
        <f t="shared" si="2"/>
        <v>0.22</v>
      </c>
      <c r="L18" s="5">
        <f t="shared" si="2"/>
        <v>0.23499999999999999</v>
      </c>
      <c r="M18" s="5">
        <f t="shared" si="2"/>
        <v>0.249</v>
      </c>
    </row>
    <row r="19" spans="1:14">
      <c r="A19" s="2" t="s">
        <v>11</v>
      </c>
      <c r="B19" s="5">
        <f t="shared" ref="B19:M19" si="3">B6</f>
        <v>7.8E-2</v>
      </c>
      <c r="C19" s="5">
        <f t="shared" si="3"/>
        <v>0.111</v>
      </c>
      <c r="D19" s="5">
        <f t="shared" si="3"/>
        <v>0.14199999999999999</v>
      </c>
      <c r="E19" s="5">
        <f t="shared" si="3"/>
        <v>0.152</v>
      </c>
      <c r="F19" s="5">
        <f t="shared" si="3"/>
        <v>0.16800000000000001</v>
      </c>
      <c r="G19" s="5">
        <f t="shared" si="3"/>
        <v>0.18</v>
      </c>
      <c r="H19" s="5">
        <f t="shared" si="3"/>
        <v>0.189</v>
      </c>
      <c r="I19" s="5">
        <f t="shared" si="3"/>
        <v>0.19800000000000001</v>
      </c>
      <c r="J19" s="5">
        <f t="shared" si="3"/>
        <v>0.21299999999999999</v>
      </c>
      <c r="K19" s="5">
        <f t="shared" si="3"/>
        <v>0.221</v>
      </c>
      <c r="L19" s="5">
        <f t="shared" si="3"/>
        <v>0.23499999999999999</v>
      </c>
      <c r="M19" s="5">
        <f t="shared" si="3"/>
        <v>0.249</v>
      </c>
    </row>
    <row r="20" spans="1:14">
      <c r="A20" s="2" t="s">
        <v>12</v>
      </c>
      <c r="B20" s="5">
        <f t="shared" ref="B20:M20" si="4">B7</f>
        <v>7.6999999999999999E-2</v>
      </c>
      <c r="C20" s="5">
        <f t="shared" si="4"/>
        <v>0.107</v>
      </c>
      <c r="D20" s="5">
        <f t="shared" si="4"/>
        <v>0.13100000000000001</v>
      </c>
      <c r="E20" s="5">
        <f t="shared" si="4"/>
        <v>0.14000000000000001</v>
      </c>
      <c r="F20" s="5">
        <f t="shared" si="4"/>
        <v>0.14799999999999999</v>
      </c>
      <c r="G20" s="5">
        <f t="shared" si="4"/>
        <v>0.157</v>
      </c>
      <c r="H20" s="5">
        <f t="shared" si="4"/>
        <v>0.16700000000000001</v>
      </c>
      <c r="I20" s="5">
        <f t="shared" si="4"/>
        <v>0.18</v>
      </c>
      <c r="J20" s="5">
        <f t="shared" si="4"/>
        <v>0.184</v>
      </c>
      <c r="K20" s="5">
        <f t="shared" si="4"/>
        <v>0.19700000000000001</v>
      </c>
      <c r="L20" s="5">
        <f t="shared" si="4"/>
        <v>0.20699999999999999</v>
      </c>
      <c r="M20" s="5">
        <f t="shared" si="4"/>
        <v>0.22</v>
      </c>
    </row>
    <row r="22" spans="1:14" ht="16" customHeight="1">
      <c r="A22" s="1" t="s">
        <v>8</v>
      </c>
      <c r="B22" s="5">
        <f>17+M16</f>
        <v>221</v>
      </c>
      <c r="C22" s="5">
        <f t="shared" ref="C22:M22" si="5">B22+17</f>
        <v>238</v>
      </c>
      <c r="D22" s="5">
        <f t="shared" si="5"/>
        <v>255</v>
      </c>
      <c r="E22" s="5">
        <f t="shared" si="5"/>
        <v>272</v>
      </c>
      <c r="F22" s="5">
        <f t="shared" si="5"/>
        <v>289</v>
      </c>
      <c r="G22" s="5">
        <f t="shared" si="5"/>
        <v>306</v>
      </c>
      <c r="H22" s="5">
        <f t="shared" si="5"/>
        <v>323</v>
      </c>
      <c r="I22" s="5">
        <f t="shared" si="5"/>
        <v>340</v>
      </c>
      <c r="J22" s="5">
        <f t="shared" si="5"/>
        <v>357</v>
      </c>
      <c r="K22" s="5">
        <f t="shared" si="5"/>
        <v>374</v>
      </c>
      <c r="L22" s="5">
        <f t="shared" si="5"/>
        <v>391</v>
      </c>
      <c r="M22" s="5">
        <f t="shared" si="5"/>
        <v>408</v>
      </c>
    </row>
    <row r="23" spans="1:14">
      <c r="A23" s="2" t="s">
        <v>13</v>
      </c>
      <c r="B23" s="5">
        <f t="shared" ref="B23:J23" si="6">B8</f>
        <v>0.28100000000000003</v>
      </c>
      <c r="C23" s="5">
        <f t="shared" si="6"/>
        <v>0.29799999999999999</v>
      </c>
      <c r="D23" s="5">
        <f t="shared" si="6"/>
        <v>0.31900000000000001</v>
      </c>
      <c r="E23" s="5">
        <f t="shared" si="6"/>
        <v>0.32500000000000001</v>
      </c>
      <c r="F23" s="5">
        <f t="shared" si="6"/>
        <v>0.34300000000000003</v>
      </c>
      <c r="G23" s="5">
        <f t="shared" si="6"/>
        <v>0.35</v>
      </c>
      <c r="H23" s="5">
        <f t="shared" si="6"/>
        <v>0.36</v>
      </c>
      <c r="I23" s="5">
        <f t="shared" si="6"/>
        <v>0.38200000000000001</v>
      </c>
      <c r="J23" s="5">
        <f t="shared" si="6"/>
        <v>0.39700000000000002</v>
      </c>
      <c r="K23" s="5">
        <f t="shared" ref="K23:M23" si="7">K8</f>
        <v>0.41699999999999998</v>
      </c>
      <c r="L23" s="5">
        <f t="shared" si="7"/>
        <v>0.442</v>
      </c>
      <c r="M23" s="5">
        <f t="shared" si="7"/>
        <v>0.47899999999999998</v>
      </c>
    </row>
    <row r="24" spans="1:14">
      <c r="A24" s="2" t="s">
        <v>14</v>
      </c>
      <c r="B24" s="5">
        <f t="shared" ref="B24:J24" si="8">B9</f>
        <v>0.27100000000000002</v>
      </c>
      <c r="C24" s="5">
        <f t="shared" si="8"/>
        <v>0.28299999999999997</v>
      </c>
      <c r="D24" s="5">
        <f t="shared" si="8"/>
        <v>0.29199999999999998</v>
      </c>
      <c r="E24" s="5">
        <f t="shared" si="8"/>
        <v>0.30399999999999999</v>
      </c>
      <c r="F24" s="5">
        <f t="shared" si="8"/>
        <v>0.32100000000000001</v>
      </c>
      <c r="G24" s="5">
        <f t="shared" si="8"/>
        <v>0.33400000000000002</v>
      </c>
      <c r="H24" s="5">
        <f t="shared" si="8"/>
        <v>0.33900000000000002</v>
      </c>
      <c r="I24" s="5">
        <f t="shared" si="8"/>
        <v>0.35899999999999999</v>
      </c>
      <c r="J24" s="5">
        <f t="shared" si="8"/>
        <v>0.38500000000000001</v>
      </c>
      <c r="K24" s="5">
        <f t="shared" ref="K24:M24" si="9">K9</f>
        <v>0.40699999999999997</v>
      </c>
      <c r="L24" s="5">
        <f t="shared" si="9"/>
        <v>0.434</v>
      </c>
      <c r="M24" s="5">
        <f t="shared" si="9"/>
        <v>0.48699999999999999</v>
      </c>
    </row>
    <row r="25" spans="1:14">
      <c r="A25" s="2" t="s">
        <v>15</v>
      </c>
      <c r="B25" s="5">
        <f t="shared" ref="B25:J25" si="10">B10</f>
        <v>0.26700000000000002</v>
      </c>
      <c r="C25" s="5">
        <f t="shared" si="10"/>
        <v>0.27600000000000002</v>
      </c>
      <c r="D25" s="5">
        <f t="shared" si="10"/>
        <v>0.29299999999999998</v>
      </c>
      <c r="E25" s="5">
        <f t="shared" si="10"/>
        <v>0.30299999999999999</v>
      </c>
      <c r="F25" s="5">
        <f t="shared" si="10"/>
        <v>0.315</v>
      </c>
      <c r="G25" s="5">
        <f t="shared" si="10"/>
        <v>0.33</v>
      </c>
      <c r="H25" s="5">
        <f t="shared" si="10"/>
        <v>0.33700000000000002</v>
      </c>
      <c r="I25" s="5">
        <f t="shared" si="10"/>
        <v>0.35399999999999998</v>
      </c>
      <c r="J25" s="5">
        <f t="shared" si="10"/>
        <v>0.371</v>
      </c>
      <c r="K25" s="5">
        <f t="shared" ref="K25:M25" si="11">K10</f>
        <v>0.38800000000000001</v>
      </c>
      <c r="L25" s="5">
        <f t="shared" si="11"/>
        <v>0.40799999999999997</v>
      </c>
      <c r="M25" s="5">
        <f t="shared" si="11"/>
        <v>0.46500000000000002</v>
      </c>
    </row>
    <row r="26" spans="1:14">
      <c r="A26" s="2" t="s">
        <v>16</v>
      </c>
      <c r="B26" s="5">
        <f t="shared" ref="B26:J26" si="12">B11</f>
        <v>0.23799999999999999</v>
      </c>
      <c r="C26" s="5">
        <f t="shared" si="12"/>
        <v>0.248</v>
      </c>
      <c r="D26" s="5">
        <f t="shared" si="12"/>
        <v>0.25900000000000001</v>
      </c>
      <c r="E26" s="5">
        <f t="shared" si="12"/>
        <v>0.26900000000000002</v>
      </c>
      <c r="F26" s="5">
        <f t="shared" si="12"/>
        <v>0.28299999999999997</v>
      </c>
      <c r="G26" s="5">
        <f t="shared" si="12"/>
        <v>0.3</v>
      </c>
      <c r="H26" s="5">
        <f t="shared" si="12"/>
        <v>0.312</v>
      </c>
      <c r="I26" s="5">
        <f t="shared" si="12"/>
        <v>0.33700000000000002</v>
      </c>
      <c r="J26" s="5">
        <f t="shared" si="12"/>
        <v>0.34499999999999997</v>
      </c>
      <c r="K26" s="5">
        <f t="shared" ref="K26:M26" si="13">K11</f>
        <v>0.35099999999999998</v>
      </c>
      <c r="L26" s="5">
        <f t="shared" si="13"/>
        <v>0.38</v>
      </c>
      <c r="M26" s="5">
        <f t="shared" si="13"/>
        <v>0.441</v>
      </c>
    </row>
    <row r="29" spans="1:14">
      <c r="A29" s="27" t="s">
        <v>17</v>
      </c>
      <c r="B29" s="28"/>
    </row>
    <row r="30" spans="1:14">
      <c r="A30" s="2" t="s">
        <v>18</v>
      </c>
      <c r="B30" s="24" t="s">
        <v>53</v>
      </c>
    </row>
    <row r="31" spans="1:14">
      <c r="A31" s="2" t="s">
        <v>19</v>
      </c>
      <c r="B31" s="24" t="s">
        <v>54</v>
      </c>
    </row>
    <row r="32" spans="1:14">
      <c r="A32" s="2" t="s">
        <v>20</v>
      </c>
      <c r="B32" s="24" t="s">
        <v>55</v>
      </c>
      <c r="N32">
        <f>5*60</f>
        <v>300</v>
      </c>
    </row>
    <row r="33" spans="1:4">
      <c r="A33" s="2" t="s">
        <v>21</v>
      </c>
      <c r="B33" s="24" t="s">
        <v>56</v>
      </c>
    </row>
    <row r="36" spans="1:4">
      <c r="A36" s="27" t="s">
        <v>22</v>
      </c>
      <c r="B36" s="28"/>
    </row>
    <row r="37" spans="1:4">
      <c r="A37" s="2" t="s">
        <v>18</v>
      </c>
      <c r="B37" s="14">
        <v>19.399999999999999</v>
      </c>
    </row>
    <row r="38" spans="1:4">
      <c r="A38" s="2" t="s">
        <v>19</v>
      </c>
      <c r="B38" s="14">
        <v>17.399999999999999</v>
      </c>
    </row>
    <row r="39" spans="1:4">
      <c r="A39" s="2" t="s">
        <v>20</v>
      </c>
      <c r="B39" s="14">
        <v>20</v>
      </c>
    </row>
    <row r="40" spans="1:4">
      <c r="A40" s="2" t="s">
        <v>21</v>
      </c>
      <c r="B40" s="14">
        <v>22</v>
      </c>
    </row>
    <row r="43" spans="1:4">
      <c r="A43" s="27" t="s">
        <v>23</v>
      </c>
      <c r="B43" s="28"/>
    </row>
    <row r="44" spans="1:4">
      <c r="A44" s="2" t="s">
        <v>18</v>
      </c>
      <c r="B44" s="8">
        <v>0.5</v>
      </c>
      <c r="C44">
        <v>250</v>
      </c>
      <c r="D44" t="s">
        <v>24</v>
      </c>
    </row>
    <row r="45" spans="1:4">
      <c r="A45" s="2" t="s">
        <v>19</v>
      </c>
      <c r="B45" s="8">
        <v>0.5</v>
      </c>
      <c r="C45">
        <v>250</v>
      </c>
      <c r="D45" t="s">
        <v>24</v>
      </c>
    </row>
    <row r="46" spans="1:4">
      <c r="A46" s="2" t="s">
        <v>20</v>
      </c>
      <c r="B46" s="8">
        <v>0.5</v>
      </c>
      <c r="C46">
        <v>250</v>
      </c>
      <c r="D46" t="s">
        <v>24</v>
      </c>
    </row>
    <row r="47" spans="1:4">
      <c r="A47" s="2" t="s">
        <v>21</v>
      </c>
      <c r="B47" s="8">
        <v>0.5</v>
      </c>
      <c r="C47">
        <v>250</v>
      </c>
      <c r="D47" t="s">
        <v>24</v>
      </c>
    </row>
    <row r="50" spans="1:3">
      <c r="A50" s="27" t="s">
        <v>25</v>
      </c>
      <c r="B50" s="28"/>
      <c r="C50" t="s">
        <v>57</v>
      </c>
    </row>
    <row r="51" spans="1:3">
      <c r="A51" s="2" t="s">
        <v>18</v>
      </c>
      <c r="B51" s="12"/>
    </row>
    <row r="52" spans="1:3">
      <c r="A52" s="2" t="s">
        <v>19</v>
      </c>
      <c r="B52" s="12"/>
    </row>
    <row r="53" spans="1:3">
      <c r="A53" s="2" t="s">
        <v>20</v>
      </c>
      <c r="B53" s="12"/>
    </row>
    <row r="54" spans="1:3">
      <c r="A54" s="2" t="s">
        <v>21</v>
      </c>
      <c r="B54" s="12"/>
    </row>
    <row r="57" spans="1:3">
      <c r="A57" s="27" t="s">
        <v>26</v>
      </c>
      <c r="B57" s="28"/>
    </row>
    <row r="58" spans="1:3">
      <c r="A58" s="2" t="s">
        <v>18</v>
      </c>
      <c r="B58" s="12">
        <v>28</v>
      </c>
    </row>
    <row r="59" spans="1:3">
      <c r="A59" s="2" t="s">
        <v>19</v>
      </c>
      <c r="B59" s="12">
        <v>28</v>
      </c>
    </row>
    <row r="60" spans="1:3">
      <c r="A60" s="2" t="s">
        <v>20</v>
      </c>
      <c r="B60" s="12">
        <v>28</v>
      </c>
    </row>
    <row r="61" spans="1:3">
      <c r="A61" s="2" t="s">
        <v>21</v>
      </c>
      <c r="B61" s="12">
        <v>28</v>
      </c>
    </row>
  </sheetData>
  <mergeCells count="6">
    <mergeCell ref="C1:Z1"/>
    <mergeCell ref="A29:B29"/>
    <mergeCell ref="A57:B57"/>
    <mergeCell ref="A43:B43"/>
    <mergeCell ref="A36:B36"/>
    <mergeCell ref="A50:B50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Z8"/>
  <sheetViews>
    <sheetView zoomScale="75" workbookViewId="0">
      <selection activeCell="M43" sqref="M43"/>
    </sheetView>
  </sheetViews>
  <sheetFormatPr baseColWidth="10" defaultRowHeight="15"/>
  <sheetData>
    <row r="3" spans="1:26">
      <c r="A3" s="29" t="s">
        <v>27</v>
      </c>
      <c r="B3" s="2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4"/>
      <c r="B4" s="7" t="s">
        <v>8</v>
      </c>
      <c r="C4" s="6">
        <f>17</f>
        <v>17</v>
      </c>
      <c r="D4" s="6">
        <f t="shared" ref="D4:Z4" si="0">C4+17</f>
        <v>34</v>
      </c>
      <c r="E4" s="6">
        <f t="shared" si="0"/>
        <v>51</v>
      </c>
      <c r="F4" s="6">
        <f t="shared" si="0"/>
        <v>68</v>
      </c>
      <c r="G4" s="6">
        <f t="shared" si="0"/>
        <v>85</v>
      </c>
      <c r="H4" s="6">
        <f t="shared" si="0"/>
        <v>102</v>
      </c>
      <c r="I4" s="6">
        <f t="shared" si="0"/>
        <v>119</v>
      </c>
      <c r="J4" s="6">
        <f t="shared" si="0"/>
        <v>136</v>
      </c>
      <c r="K4" s="6">
        <f t="shared" si="0"/>
        <v>153</v>
      </c>
      <c r="L4" s="6">
        <f t="shared" si="0"/>
        <v>170</v>
      </c>
      <c r="M4" s="6">
        <f t="shared" si="0"/>
        <v>187</v>
      </c>
      <c r="N4" s="6">
        <f t="shared" si="0"/>
        <v>204</v>
      </c>
      <c r="O4" s="6">
        <f t="shared" si="0"/>
        <v>221</v>
      </c>
      <c r="P4" s="6">
        <f t="shared" si="0"/>
        <v>238</v>
      </c>
      <c r="Q4" s="6">
        <f t="shared" si="0"/>
        <v>255</v>
      </c>
      <c r="R4" s="6">
        <f t="shared" si="0"/>
        <v>272</v>
      </c>
      <c r="S4" s="6">
        <f t="shared" si="0"/>
        <v>289</v>
      </c>
      <c r="T4" s="6">
        <f t="shared" si="0"/>
        <v>306</v>
      </c>
      <c r="U4" s="6">
        <f t="shared" si="0"/>
        <v>323</v>
      </c>
      <c r="V4" s="6">
        <f t="shared" si="0"/>
        <v>340</v>
      </c>
      <c r="W4" s="6">
        <f t="shared" si="0"/>
        <v>357</v>
      </c>
      <c r="X4" s="6">
        <f t="shared" si="0"/>
        <v>374</v>
      </c>
      <c r="Y4" s="6">
        <f t="shared" si="0"/>
        <v>391</v>
      </c>
      <c r="Z4" s="6">
        <f t="shared" si="0"/>
        <v>408</v>
      </c>
    </row>
    <row r="5" spans="1:26">
      <c r="A5" s="4"/>
      <c r="B5" s="8" t="str">
        <f>Info!B30</f>
        <v>P23-1</v>
      </c>
      <c r="C5" s="6">
        <f>Info!B17-0.045</f>
        <v>3.2000000000000001E-2</v>
      </c>
      <c r="D5" s="6">
        <f>Info!C17-0.045</f>
        <v>7.5999999999999998E-2</v>
      </c>
      <c r="E5" s="6">
        <f>Info!D17-0.045</f>
        <v>9.5000000000000015E-2</v>
      </c>
      <c r="F5" s="6">
        <f>Info!E17-0.045</f>
        <v>0.11700000000000001</v>
      </c>
      <c r="G5" s="6">
        <f>Info!F17-0.045</f>
        <v>0.13400000000000001</v>
      </c>
      <c r="H5" s="6">
        <f>Info!G17-0.045</f>
        <v>0.15200000000000002</v>
      </c>
      <c r="I5" s="6">
        <f>Info!H17-0.045</f>
        <v>0.16499999999999998</v>
      </c>
      <c r="J5" s="6">
        <f>Info!I17-0.045</f>
        <v>0.17399999999999999</v>
      </c>
      <c r="K5" s="6">
        <f>Info!J17-0.045</f>
        <v>0.188</v>
      </c>
      <c r="L5" s="6">
        <f>Info!K17-0.045</f>
        <v>0.2</v>
      </c>
      <c r="M5" s="6">
        <f>Info!L17-0.045</f>
        <v>0.21500000000000002</v>
      </c>
      <c r="N5" s="6">
        <f>Info!M17-0.045</f>
        <v>0.22700000000000004</v>
      </c>
      <c r="O5" s="6">
        <f>Info!B23-0.045</f>
        <v>0.23600000000000004</v>
      </c>
      <c r="P5" s="6">
        <f>Info!C23-0.045</f>
        <v>0.253</v>
      </c>
      <c r="Q5" s="6">
        <f>Info!D23-0.045</f>
        <v>0.27400000000000002</v>
      </c>
      <c r="R5" s="6">
        <f>Info!E23-0.045</f>
        <v>0.28000000000000003</v>
      </c>
      <c r="S5" s="6">
        <f>Info!F23-0.045</f>
        <v>0.29800000000000004</v>
      </c>
      <c r="T5" s="6">
        <f>Info!G23-0.045</f>
        <v>0.30499999999999999</v>
      </c>
      <c r="U5" s="6">
        <f>Info!H23-0.045</f>
        <v>0.315</v>
      </c>
      <c r="V5" s="6">
        <f>Info!I23-0.045</f>
        <v>0.33700000000000002</v>
      </c>
      <c r="W5" s="6">
        <f>Info!J23-0.045</f>
        <v>0.35200000000000004</v>
      </c>
      <c r="X5" s="6">
        <f>Info!K23-0.045</f>
        <v>0.372</v>
      </c>
      <c r="Y5" s="6">
        <f>Info!L23-0.045</f>
        <v>0.39700000000000002</v>
      </c>
      <c r="Z5" s="6">
        <f>Info!M23-0.045</f>
        <v>0.434</v>
      </c>
    </row>
    <row r="6" spans="1:26">
      <c r="A6" s="4"/>
      <c r="B6" s="8" t="str">
        <f>Info!B31</f>
        <v>P23-2</v>
      </c>
      <c r="C6" s="6">
        <f>Info!B18-0.045</f>
        <v>3.4000000000000002E-2</v>
      </c>
      <c r="D6" s="6">
        <f>Info!C18-0.045</f>
        <v>6.8000000000000005E-2</v>
      </c>
      <c r="E6" s="6">
        <f>Info!D18-0.045</f>
        <v>8.900000000000001E-2</v>
      </c>
      <c r="F6" s="6">
        <f>Info!E18-0.045</f>
        <v>0.106</v>
      </c>
      <c r="G6" s="6">
        <f>Info!F18-0.045</f>
        <v>0.12400000000000001</v>
      </c>
      <c r="H6" s="6">
        <f>Info!G18-0.045</f>
        <v>0.13600000000000001</v>
      </c>
      <c r="I6" s="6">
        <f>Info!H18-0.045</f>
        <v>0.14600000000000002</v>
      </c>
      <c r="J6" s="6">
        <f>Info!I18-0.045</f>
        <v>0.15200000000000002</v>
      </c>
      <c r="K6" s="6">
        <f>Info!J18-0.045</f>
        <v>0.16499999999999998</v>
      </c>
      <c r="L6" s="6">
        <f>Info!K18-0.045</f>
        <v>0.17499999999999999</v>
      </c>
      <c r="M6" s="6">
        <f>Info!L18-0.045</f>
        <v>0.19</v>
      </c>
      <c r="N6" s="6">
        <f>Info!M18-0.045</f>
        <v>0.20400000000000001</v>
      </c>
      <c r="O6" s="6">
        <f>Info!B24-0.045</f>
        <v>0.22600000000000003</v>
      </c>
      <c r="P6" s="6">
        <f>Info!C24-0.045</f>
        <v>0.23799999999999999</v>
      </c>
      <c r="Q6" s="6">
        <f>Info!D24-0.045</f>
        <v>0.247</v>
      </c>
      <c r="R6" s="6">
        <f>Info!E24-0.045</f>
        <v>0.25900000000000001</v>
      </c>
      <c r="S6" s="6">
        <f>Info!F24-0.045</f>
        <v>0.27600000000000002</v>
      </c>
      <c r="T6" s="6">
        <f>Info!G24-0.045</f>
        <v>0.28900000000000003</v>
      </c>
      <c r="U6" s="6">
        <f>Info!H24-0.045</f>
        <v>0.29400000000000004</v>
      </c>
      <c r="V6" s="6">
        <f>Info!I24-0.045</f>
        <v>0.314</v>
      </c>
      <c r="W6" s="6">
        <f>Info!J24-0.045</f>
        <v>0.34</v>
      </c>
      <c r="X6" s="6">
        <f>Info!K24-0.045</f>
        <v>0.36199999999999999</v>
      </c>
      <c r="Y6" s="6">
        <f>Info!L24-0.045</f>
        <v>0.38900000000000001</v>
      </c>
      <c r="Z6" s="6">
        <f>Info!M24-0.045</f>
        <v>0.442</v>
      </c>
    </row>
    <row r="7" spans="1:26">
      <c r="A7" s="4"/>
      <c r="B7" s="8" t="str">
        <f>Info!B32</f>
        <v>P23-3</v>
      </c>
      <c r="C7" s="6">
        <f>Info!B19-0.045</f>
        <v>3.3000000000000002E-2</v>
      </c>
      <c r="D7" s="6">
        <f>Info!C19-0.045</f>
        <v>6.6000000000000003E-2</v>
      </c>
      <c r="E7" s="6">
        <f>Info!D19-0.045</f>
        <v>9.6999999999999989E-2</v>
      </c>
      <c r="F7" s="6">
        <f>Info!E19-0.045</f>
        <v>0.107</v>
      </c>
      <c r="G7" s="6">
        <f>Info!F19-0.045</f>
        <v>0.12300000000000001</v>
      </c>
      <c r="H7" s="6">
        <f>Info!G19-0.045</f>
        <v>0.13500000000000001</v>
      </c>
      <c r="I7" s="6">
        <f>Info!H19-0.045</f>
        <v>0.14400000000000002</v>
      </c>
      <c r="J7" s="6">
        <f>Info!I19-0.045</f>
        <v>0.15300000000000002</v>
      </c>
      <c r="K7" s="6">
        <f>Info!J19-0.045</f>
        <v>0.16799999999999998</v>
      </c>
      <c r="L7" s="6">
        <f>Info!K19-0.045</f>
        <v>0.17599999999999999</v>
      </c>
      <c r="M7" s="6">
        <f>Info!L19-0.045</f>
        <v>0.19</v>
      </c>
      <c r="N7" s="6">
        <f>Info!M19-0.045</f>
        <v>0.20400000000000001</v>
      </c>
      <c r="O7" s="6">
        <f>Info!B25-0.045</f>
        <v>0.22200000000000003</v>
      </c>
      <c r="P7" s="6">
        <f>Info!C25-0.045</f>
        <v>0.23100000000000004</v>
      </c>
      <c r="Q7" s="6">
        <f>Info!D25-0.045</f>
        <v>0.248</v>
      </c>
      <c r="R7" s="6">
        <f>Info!E25-0.045</f>
        <v>0.25800000000000001</v>
      </c>
      <c r="S7" s="6">
        <f>Info!F25-0.045</f>
        <v>0.27</v>
      </c>
      <c r="T7" s="6">
        <f>Info!G25-0.045</f>
        <v>0.28500000000000003</v>
      </c>
      <c r="U7" s="6">
        <f>Info!H25-0.045</f>
        <v>0.29200000000000004</v>
      </c>
      <c r="V7" s="6">
        <f>Info!I25-0.045</f>
        <v>0.309</v>
      </c>
      <c r="W7" s="6">
        <f>Info!J25-0.045</f>
        <v>0.32600000000000001</v>
      </c>
      <c r="X7" s="6">
        <f>Info!K25-0.045</f>
        <v>0.34300000000000003</v>
      </c>
      <c r="Y7" s="6">
        <f>Info!L25-0.045</f>
        <v>0.36299999999999999</v>
      </c>
      <c r="Z7" s="6">
        <f>Info!M25-0.045</f>
        <v>0.42000000000000004</v>
      </c>
    </row>
    <row r="8" spans="1:26">
      <c r="A8" s="4"/>
      <c r="B8" s="8" t="str">
        <f>Info!B33</f>
        <v>P23-4</v>
      </c>
      <c r="C8" s="6">
        <f>Info!B20-0.045</f>
        <v>3.2000000000000001E-2</v>
      </c>
      <c r="D8" s="6">
        <f>Info!C20-0.045</f>
        <v>6.2E-2</v>
      </c>
      <c r="E8" s="6">
        <f>Info!D20-0.045</f>
        <v>8.6000000000000007E-2</v>
      </c>
      <c r="F8" s="6">
        <f>Info!E20-0.045</f>
        <v>9.5000000000000015E-2</v>
      </c>
      <c r="G8" s="6">
        <f>Info!F20-0.045</f>
        <v>0.10299999999999999</v>
      </c>
      <c r="H8" s="6">
        <f>Info!G20-0.045</f>
        <v>0.112</v>
      </c>
      <c r="I8" s="6">
        <f>Info!H20-0.045</f>
        <v>0.12200000000000001</v>
      </c>
      <c r="J8" s="6">
        <f>Info!I20-0.045</f>
        <v>0.13500000000000001</v>
      </c>
      <c r="K8" s="6">
        <f>Info!J20-0.045</f>
        <v>0.13900000000000001</v>
      </c>
      <c r="L8" s="6">
        <f>Info!K20-0.045</f>
        <v>0.15200000000000002</v>
      </c>
      <c r="M8" s="6">
        <f>Info!L20-0.045</f>
        <v>0.16199999999999998</v>
      </c>
      <c r="N8" s="6">
        <f>Info!M20-0.045</f>
        <v>0.17499999999999999</v>
      </c>
      <c r="O8" s="6">
        <f>Info!B26-0.045</f>
        <v>0.193</v>
      </c>
      <c r="P8" s="6">
        <f>Info!C26-0.045</f>
        <v>0.20300000000000001</v>
      </c>
      <c r="Q8" s="6">
        <f>Info!D26-0.045</f>
        <v>0.21400000000000002</v>
      </c>
      <c r="R8" s="6">
        <f>Info!E26-0.045</f>
        <v>0.22400000000000003</v>
      </c>
      <c r="S8" s="6">
        <f>Info!F26-0.045</f>
        <v>0.23799999999999999</v>
      </c>
      <c r="T8" s="6">
        <f>Info!G26-0.045</f>
        <v>0.255</v>
      </c>
      <c r="U8" s="6">
        <f>Info!H26-0.045</f>
        <v>0.26700000000000002</v>
      </c>
      <c r="V8" s="6">
        <f>Info!I26-0.045</f>
        <v>0.29200000000000004</v>
      </c>
      <c r="W8" s="6">
        <f>Info!J26-0.045</f>
        <v>0.3</v>
      </c>
      <c r="X8" s="6">
        <f>Info!K26-0.045</f>
        <v>0.30599999999999999</v>
      </c>
      <c r="Y8" s="6">
        <f>Info!L26-0.045</f>
        <v>0.33500000000000002</v>
      </c>
      <c r="Z8" s="6">
        <f>Info!M26-0.045</f>
        <v>0.39600000000000002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4"/>
  <sheetViews>
    <sheetView zoomScale="92" workbookViewId="0">
      <selection activeCell="L28" sqref="L28"/>
    </sheetView>
  </sheetViews>
  <sheetFormatPr baseColWidth="10" defaultRowHeight="15"/>
  <cols>
    <col min="1" max="1" width="17.6640625" customWidth="1"/>
  </cols>
  <sheetData>
    <row r="1" spans="1:26">
      <c r="C1" s="25" t="s">
        <v>58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3" spans="1:26">
      <c r="A3" s="11" t="s">
        <v>28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26">
      <c r="B4" s="10" t="s">
        <v>8</v>
      </c>
      <c r="C4" s="9">
        <f>17</f>
        <v>17</v>
      </c>
      <c r="D4" s="9">
        <f t="shared" ref="D4:Z4" si="0">C4+17</f>
        <v>34</v>
      </c>
      <c r="E4" s="9">
        <f t="shared" si="0"/>
        <v>51</v>
      </c>
      <c r="F4" s="9">
        <f t="shared" si="0"/>
        <v>68</v>
      </c>
      <c r="G4" s="9">
        <f t="shared" si="0"/>
        <v>85</v>
      </c>
      <c r="H4" s="9">
        <f t="shared" si="0"/>
        <v>102</v>
      </c>
      <c r="I4" s="9">
        <f t="shared" si="0"/>
        <v>119</v>
      </c>
      <c r="J4" s="9">
        <f t="shared" si="0"/>
        <v>136</v>
      </c>
      <c r="K4" s="9">
        <f t="shared" si="0"/>
        <v>153</v>
      </c>
      <c r="L4" s="9">
        <f t="shared" si="0"/>
        <v>170</v>
      </c>
      <c r="M4" s="9">
        <f t="shared" si="0"/>
        <v>187</v>
      </c>
      <c r="N4" s="9">
        <f t="shared" si="0"/>
        <v>204</v>
      </c>
      <c r="O4" s="9">
        <f t="shared" si="0"/>
        <v>221</v>
      </c>
      <c r="P4" s="9">
        <f t="shared" si="0"/>
        <v>238</v>
      </c>
      <c r="Q4" s="9">
        <f t="shared" si="0"/>
        <v>255</v>
      </c>
      <c r="R4" s="9">
        <f t="shared" si="0"/>
        <v>272</v>
      </c>
      <c r="S4" s="9">
        <f t="shared" si="0"/>
        <v>289</v>
      </c>
      <c r="T4" s="9">
        <f t="shared" si="0"/>
        <v>306</v>
      </c>
      <c r="U4" s="9">
        <f t="shared" si="0"/>
        <v>323</v>
      </c>
      <c r="V4" s="9">
        <f t="shared" si="0"/>
        <v>340</v>
      </c>
      <c r="W4" s="9">
        <f t="shared" si="0"/>
        <v>357</v>
      </c>
      <c r="X4" s="9">
        <f t="shared" si="0"/>
        <v>374</v>
      </c>
      <c r="Y4" s="9">
        <f t="shared" si="0"/>
        <v>391</v>
      </c>
      <c r="Z4" s="9">
        <f t="shared" si="0"/>
        <v>408</v>
      </c>
    </row>
    <row r="5" spans="1:26">
      <c r="B5" s="8" t="str">
        <f>Info!B30</f>
        <v>P23-1</v>
      </c>
      <c r="C5" s="9">
        <f>('Correction Blank'!C5-$B$13)/$B$12</f>
        <v>-0.39832635983263603</v>
      </c>
      <c r="D5" s="9">
        <f>('Correction Blank'!D5-$B$13)/$B$12</f>
        <v>-3.0125523012552353E-2</v>
      </c>
      <c r="E5" s="9">
        <f>('Correction Blank'!E5-$B$13)/$B$12</f>
        <v>0.12887029288702939</v>
      </c>
      <c r="F5" s="9">
        <f>('Correction Blank'!F5-$B$13)/$B$12</f>
        <v>0.31297071129707116</v>
      </c>
      <c r="G5" s="9">
        <f>('Correction Blank'!G5-$B$13)/$B$12</f>
        <v>0.45523012552301262</v>
      </c>
      <c r="H5" s="9">
        <f>('Correction Blank'!H5-$B$13)/$B$12</f>
        <v>0.60585774058577424</v>
      </c>
      <c r="I5" s="9">
        <f>('Correction Blank'!I5-$B$13)/$B$12</f>
        <v>0.71464435146443495</v>
      </c>
      <c r="J5" s="9">
        <f>('Correction Blank'!J5-$B$13)/$B$12</f>
        <v>0.78995815899581578</v>
      </c>
      <c r="K5" s="9">
        <f>('Correction Blank'!K5-$B$13)/$B$12</f>
        <v>0.90711297071129704</v>
      </c>
      <c r="L5" s="9">
        <f>('Correction Blank'!L5-$B$13)/$B$12</f>
        <v>1.0075313807531381</v>
      </c>
      <c r="M5" s="9">
        <f>('Correction Blank'!M5-$B$13)/$B$12</f>
        <v>1.1330543933054396</v>
      </c>
      <c r="N5" s="9">
        <f>('Correction Blank'!N5-$B$13)/$B$12</f>
        <v>1.2334728033472806</v>
      </c>
      <c r="O5" s="9">
        <f>('Correction Blank'!O5-$B$13)/$B$12</f>
        <v>1.3087866108786614</v>
      </c>
      <c r="P5" s="9">
        <f>('Correction Blank'!P5-$B$13)/$B$12</f>
        <v>1.4510460251046025</v>
      </c>
      <c r="Q5" s="9">
        <f>('Correction Blank'!Q5-$B$13)/$B$12</f>
        <v>1.6267782426778246</v>
      </c>
      <c r="R5" s="9">
        <f>('Correction Blank'!R5-$B$13)/$B$12</f>
        <v>1.676987447698745</v>
      </c>
      <c r="S5" s="9">
        <f>('Correction Blank'!S5-$B$13)/$B$12</f>
        <v>1.8276150627615066</v>
      </c>
      <c r="T5" s="9">
        <f>('Correction Blank'!T5-$B$13)/$B$12</f>
        <v>1.8861924686192468</v>
      </c>
      <c r="U5" s="9">
        <f>('Correction Blank'!U5-$B$13)/$B$12</f>
        <v>1.9698744769874477</v>
      </c>
      <c r="V5" s="9">
        <f>('Correction Blank'!V5-$B$13)/$B$12</f>
        <v>2.1539748953974898</v>
      </c>
      <c r="W5" s="9">
        <f>('Correction Blank'!W5-$B$13)/$B$12</f>
        <v>2.279497907949791</v>
      </c>
      <c r="X5" s="9">
        <f>('Correction Blank'!X5-$B$13)/$B$12</f>
        <v>2.4468619246861927</v>
      </c>
      <c r="Y5" s="9">
        <f>('Correction Blank'!Y5-$B$13)/$B$12</f>
        <v>2.6560669456066948</v>
      </c>
      <c r="Z5" s="9">
        <f>('Correction Blank'!Z5-$B$13)/$B$12</f>
        <v>2.9656903765690377</v>
      </c>
    </row>
    <row r="6" spans="1:26">
      <c r="B6" s="8" t="str">
        <f>Info!B31</f>
        <v>P23-2</v>
      </c>
      <c r="C6" s="9">
        <f>('Correction Blank'!C6-$B$13)/$B$12</f>
        <v>-0.38158995815899582</v>
      </c>
      <c r="D6" s="9">
        <f>('Correction Blank'!D6-$B$13)/$B$12</f>
        <v>-9.7071129707112971E-2</v>
      </c>
      <c r="E6" s="9">
        <f>('Correction Blank'!E6-$B$13)/$B$12</f>
        <v>7.8661087866108842E-2</v>
      </c>
      <c r="F6" s="9">
        <f>('Correction Blank'!F6-$B$13)/$B$12</f>
        <v>0.22092050209205016</v>
      </c>
      <c r="G6" s="9">
        <f>('Correction Blank'!G6-$B$13)/$B$12</f>
        <v>0.37154811715481179</v>
      </c>
      <c r="H6" s="9">
        <f>('Correction Blank'!H6-$B$13)/$B$12</f>
        <v>0.47196652719665277</v>
      </c>
      <c r="I6" s="9">
        <f>('Correction Blank'!I6-$B$13)/$B$12</f>
        <v>0.55564853556485372</v>
      </c>
      <c r="J6" s="9">
        <f>('Correction Blank'!J6-$B$13)/$B$12</f>
        <v>0.60585774058577424</v>
      </c>
      <c r="K6" s="9">
        <f>('Correction Blank'!K6-$B$13)/$B$12</f>
        <v>0.71464435146443495</v>
      </c>
      <c r="L6" s="9">
        <f>('Correction Blank'!L6-$B$13)/$B$12</f>
        <v>0.79832635983263589</v>
      </c>
      <c r="M6" s="9">
        <f>('Correction Blank'!M6-$B$13)/$B$12</f>
        <v>0.92384937238493725</v>
      </c>
      <c r="N6" s="9">
        <f>('Correction Blank'!N6-$B$13)/$B$12</f>
        <v>1.0410041841004185</v>
      </c>
      <c r="O6" s="9">
        <f>('Correction Blank'!O6-$B$13)/$B$12</f>
        <v>1.2251046025104606</v>
      </c>
      <c r="P6" s="9">
        <f>('Correction Blank'!P6-$B$13)/$B$12</f>
        <v>1.3255230125523012</v>
      </c>
      <c r="Q6" s="9">
        <f>('Correction Blank'!Q6-$B$13)/$B$12</f>
        <v>1.400836820083682</v>
      </c>
      <c r="R6" s="9">
        <f>('Correction Blank'!R6-$B$13)/$B$12</f>
        <v>1.5012552301255231</v>
      </c>
      <c r="S6" s="9">
        <f>('Correction Blank'!S6-$B$13)/$B$12</f>
        <v>1.6435146443514648</v>
      </c>
      <c r="T6" s="9">
        <f>('Correction Blank'!T6-$B$13)/$B$12</f>
        <v>1.7523012552301258</v>
      </c>
      <c r="U6" s="9">
        <f>('Correction Blank'!U6-$B$13)/$B$12</f>
        <v>1.7941422594142262</v>
      </c>
      <c r="V6" s="9">
        <f>('Correction Blank'!V6-$B$13)/$B$12</f>
        <v>1.9615062761506277</v>
      </c>
      <c r="W6" s="9">
        <f>('Correction Blank'!W6-$B$13)/$B$12</f>
        <v>2.1790794979079502</v>
      </c>
      <c r="X6" s="9">
        <f>('Correction Blank'!X6-$B$13)/$B$12</f>
        <v>2.3631799163179914</v>
      </c>
      <c r="Y6" s="9">
        <f>('Correction Blank'!Y6-$B$13)/$B$12</f>
        <v>2.5891213389121339</v>
      </c>
      <c r="Z6" s="9">
        <f>('Correction Blank'!Z6-$B$13)/$B$12</f>
        <v>3.0326359832635985</v>
      </c>
    </row>
    <row r="7" spans="1:26">
      <c r="B7" s="8" t="str">
        <f>Info!B32</f>
        <v>P23-3</v>
      </c>
      <c r="C7" s="9">
        <f>('Correction Blank'!C7-$B$13)/$B$12</f>
        <v>-0.38995815899581593</v>
      </c>
      <c r="D7" s="9">
        <f>('Correction Blank'!D7-$B$13)/$B$12</f>
        <v>-0.11380753138075315</v>
      </c>
      <c r="E7" s="9">
        <f>('Correction Blank'!E7-$B$13)/$B$12</f>
        <v>0.14560669456066933</v>
      </c>
      <c r="F7" s="9">
        <f>('Correction Blank'!F7-$B$13)/$B$12</f>
        <v>0.22928870292887024</v>
      </c>
      <c r="G7" s="9">
        <f>('Correction Blank'!G7-$B$13)/$B$12</f>
        <v>0.36317991631799174</v>
      </c>
      <c r="H7" s="9">
        <f>('Correction Blank'!H7-$B$13)/$B$12</f>
        <v>0.46359832635983267</v>
      </c>
      <c r="I7" s="9">
        <f>('Correction Blank'!I7-$B$13)/$B$12</f>
        <v>0.53891213389121351</v>
      </c>
      <c r="J7" s="9">
        <f>('Correction Blank'!J7-$B$13)/$B$12</f>
        <v>0.61422594142259435</v>
      </c>
      <c r="K7" s="9">
        <f>('Correction Blank'!K7-$B$13)/$B$12</f>
        <v>0.73974895397489526</v>
      </c>
      <c r="L7" s="9">
        <f>('Correction Blank'!L7-$B$13)/$B$12</f>
        <v>0.806694560669456</v>
      </c>
      <c r="M7" s="9">
        <f>('Correction Blank'!M7-$B$13)/$B$12</f>
        <v>0.92384937238493725</v>
      </c>
      <c r="N7" s="9">
        <f>('Correction Blank'!N7-$B$13)/$B$12</f>
        <v>1.0410041841004185</v>
      </c>
      <c r="O7" s="9">
        <f>('Correction Blank'!O7-$B$13)/$B$12</f>
        <v>1.1916317991631802</v>
      </c>
      <c r="P7" s="9">
        <f>('Correction Blank'!P7-$B$13)/$B$12</f>
        <v>1.266945606694561</v>
      </c>
      <c r="Q7" s="9">
        <f>('Correction Blank'!Q7-$B$13)/$B$12</f>
        <v>1.409205020920502</v>
      </c>
      <c r="R7" s="9">
        <f>('Correction Blank'!R7-$B$13)/$B$12</f>
        <v>1.4928870292887031</v>
      </c>
      <c r="S7" s="9">
        <f>('Correction Blank'!S7-$B$13)/$B$12</f>
        <v>1.5933054393305441</v>
      </c>
      <c r="T7" s="9">
        <f>('Correction Blank'!T7-$B$13)/$B$12</f>
        <v>1.7188284518828454</v>
      </c>
      <c r="U7" s="9">
        <f>('Correction Blank'!U7-$B$13)/$B$12</f>
        <v>1.777405857740586</v>
      </c>
      <c r="V7" s="9">
        <f>('Correction Blank'!V7-$B$13)/$B$12</f>
        <v>1.9196652719665273</v>
      </c>
      <c r="W7" s="9">
        <f>('Correction Blank'!W7-$B$13)/$B$12</f>
        <v>2.0619246861924689</v>
      </c>
      <c r="X7" s="9">
        <f>('Correction Blank'!X7-$B$13)/$B$12</f>
        <v>2.2041841004184102</v>
      </c>
      <c r="Y7" s="9">
        <f>('Correction Blank'!Y7-$B$13)/$B$12</f>
        <v>2.3715481171548118</v>
      </c>
      <c r="Z7" s="9">
        <f>('Correction Blank'!Z7-$B$13)/$B$12</f>
        <v>2.8485355648535569</v>
      </c>
    </row>
    <row r="8" spans="1:26">
      <c r="B8" s="8" t="str">
        <f>Info!B33</f>
        <v>P23-4</v>
      </c>
      <c r="C8" s="9">
        <f>('Correction Blank'!C8-$B$13)/$B$12</f>
        <v>-0.39832635983263603</v>
      </c>
      <c r="D8" s="9">
        <f>('Correction Blank'!D8-$B$13)/$B$12</f>
        <v>-0.14728033472803351</v>
      </c>
      <c r="E8" s="9">
        <f>('Correction Blank'!E8-$B$13)/$B$12</f>
        <v>5.355648535564856E-2</v>
      </c>
      <c r="F8" s="9">
        <f>('Correction Blank'!F8-$B$13)/$B$12</f>
        <v>0.12887029288702939</v>
      </c>
      <c r="G8" s="9">
        <f>('Correction Blank'!G8-$B$13)/$B$12</f>
        <v>0.19581589958158988</v>
      </c>
      <c r="H8" s="9">
        <f>('Correction Blank'!H8-$B$13)/$B$12</f>
        <v>0.27112970711297069</v>
      </c>
      <c r="I8" s="9">
        <f>('Correction Blank'!I8-$B$13)/$B$12</f>
        <v>0.35481171548117163</v>
      </c>
      <c r="J8" s="9">
        <f>('Correction Blank'!J8-$B$13)/$B$12</f>
        <v>0.46359832635983267</v>
      </c>
      <c r="K8" s="9">
        <f>('Correction Blank'!K8-$B$13)/$B$12</f>
        <v>0.49707112970711304</v>
      </c>
      <c r="L8" s="9">
        <f>('Correction Blank'!L8-$B$13)/$B$12</f>
        <v>0.60585774058577424</v>
      </c>
      <c r="M8" s="9">
        <f>('Correction Blank'!M8-$B$13)/$B$12</f>
        <v>0.68953974895397474</v>
      </c>
      <c r="N8" s="9">
        <f>('Correction Blank'!N8-$B$13)/$B$12</f>
        <v>0.79832635983263589</v>
      </c>
      <c r="O8" s="9">
        <f>('Correction Blank'!O8-$B$13)/$B$12</f>
        <v>0.94895397489539757</v>
      </c>
      <c r="P8" s="9">
        <f>('Correction Blank'!P8-$B$13)/$B$12</f>
        <v>1.0326359832635985</v>
      </c>
      <c r="Q8" s="9">
        <f>('Correction Blank'!Q8-$B$13)/$B$12</f>
        <v>1.1246861924686196</v>
      </c>
      <c r="R8" s="9">
        <f>('Correction Blank'!R8-$B$13)/$B$12</f>
        <v>1.2083682008368204</v>
      </c>
      <c r="S8" s="9">
        <f>('Correction Blank'!S8-$B$13)/$B$12</f>
        <v>1.3255230125523012</v>
      </c>
      <c r="T8" s="9">
        <f>('Correction Blank'!T8-$B$13)/$B$12</f>
        <v>1.4677824267782427</v>
      </c>
      <c r="U8" s="9">
        <f>('Correction Blank'!U8-$B$13)/$B$12</f>
        <v>1.5682008368200839</v>
      </c>
      <c r="V8" s="9">
        <f>('Correction Blank'!V8-$B$13)/$B$12</f>
        <v>1.777405857740586</v>
      </c>
      <c r="W8" s="9">
        <f>('Correction Blank'!W8-$B$13)/$B$12</f>
        <v>1.8443514644351464</v>
      </c>
      <c r="X8" s="9">
        <f>('Correction Blank'!X8-$B$13)/$B$12</f>
        <v>1.894560669456067</v>
      </c>
      <c r="Y8" s="9">
        <f>('Correction Blank'!Y8-$B$13)/$B$12</f>
        <v>2.1372384937238498</v>
      </c>
      <c r="Z8" s="9">
        <f>('Correction Blank'!Z8-$B$13)/$B$12</f>
        <v>2.6476987447698748</v>
      </c>
    </row>
    <row r="10" spans="1:26" s="4" customFormat="1" ht="13" customHeight="1">
      <c r="B10" s="6"/>
    </row>
    <row r="11" spans="1:26" s="4" customFormat="1" ht="13" customHeight="1">
      <c r="A11" s="4" t="s">
        <v>60</v>
      </c>
      <c r="B11" s="6" t="s">
        <v>61</v>
      </c>
    </row>
    <row r="12" spans="1:26">
      <c r="A12" t="s">
        <v>30</v>
      </c>
      <c r="B12">
        <v>0.1195</v>
      </c>
    </row>
    <row r="13" spans="1:26">
      <c r="A13" t="s">
        <v>31</v>
      </c>
      <c r="B13">
        <v>7.9600000000000004E-2</v>
      </c>
    </row>
    <row r="14" spans="1:26">
      <c r="A14" t="s">
        <v>32</v>
      </c>
      <c r="B14">
        <v>20</v>
      </c>
    </row>
  </sheetData>
  <mergeCells count="1">
    <mergeCell ref="C1:Z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7"/>
  <sheetViews>
    <sheetView showGridLines="0" tabSelected="1" workbookViewId="0">
      <pane xSplit="2" ySplit="11" topLeftCell="C16" activePane="bottomRight" state="frozen"/>
      <selection pane="topRight"/>
      <selection pane="bottomLeft"/>
      <selection pane="bottomRight" activeCell="E35" sqref="E35"/>
    </sheetView>
  </sheetViews>
  <sheetFormatPr baseColWidth="10" defaultColWidth="8.83203125" defaultRowHeight="15"/>
  <cols>
    <col min="1" max="1" width="37.5" customWidth="1"/>
    <col min="2" max="2" width="24" customWidth="1"/>
    <col min="3" max="24" width="11" customWidth="1"/>
  </cols>
  <sheetData>
    <row r="1" spans="1:26" ht="24" customHeight="1">
      <c r="A1" s="31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6" ht="18" customHeight="1">
      <c r="A2" s="25" t="s">
        <v>58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6" ht="18" customHeight="1">
      <c r="A3" t="s">
        <v>52</v>
      </c>
    </row>
    <row r="4" spans="1:26" ht="18" customHeight="1">
      <c r="A4" s="15" t="s">
        <v>34</v>
      </c>
    </row>
    <row r="5" spans="1:26" ht="18" customHeight="1">
      <c r="A5" t="s">
        <v>35</v>
      </c>
      <c r="B5" s="16">
        <v>18.399999999999999</v>
      </c>
      <c r="D5" t="s">
        <v>36</v>
      </c>
      <c r="E5" s="17" t="s">
        <v>37</v>
      </c>
    </row>
    <row r="6" spans="1:26" ht="18" customHeight="1">
      <c r="B6" s="16">
        <v>20</v>
      </c>
      <c r="E6" s="17"/>
    </row>
    <row r="7" spans="1:26" ht="18" customHeight="1">
      <c r="B7" s="16">
        <v>20</v>
      </c>
      <c r="E7" s="17"/>
    </row>
    <row r="8" spans="1:26" ht="18" customHeight="1">
      <c r="B8" s="16">
        <v>22</v>
      </c>
      <c r="E8" s="17"/>
    </row>
    <row r="9" spans="1:26" ht="30" customHeight="1">
      <c r="A9" t="s">
        <v>38</v>
      </c>
      <c r="B9" s="18">
        <v>0.25</v>
      </c>
      <c r="D9" t="s">
        <v>39</v>
      </c>
      <c r="E9" s="30" t="s">
        <v>40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spans="1:26" ht="30" customHeight="1">
      <c r="A10" t="s">
        <v>41</v>
      </c>
      <c r="B10" s="18">
        <v>250</v>
      </c>
      <c r="D10" t="s">
        <v>42</v>
      </c>
      <c r="E10" s="30" t="s">
        <v>43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spans="1:26" ht="18" customHeight="1"/>
    <row r="12" spans="1:26" ht="18" customHeight="1">
      <c r="A12" s="15" t="s">
        <v>44</v>
      </c>
    </row>
    <row r="13" spans="1:26" ht="18" customHeight="1">
      <c r="B13" s="19" t="s">
        <v>8</v>
      </c>
      <c r="C13" s="19">
        <f>Conversions!C4</f>
        <v>17</v>
      </c>
      <c r="D13" s="19">
        <f>Conversions!D4</f>
        <v>34</v>
      </c>
      <c r="E13" s="19">
        <f>Conversions!E4</f>
        <v>51</v>
      </c>
      <c r="F13" s="19">
        <f>Conversions!F4</f>
        <v>68</v>
      </c>
      <c r="G13" s="19">
        <f>Conversions!G4</f>
        <v>85</v>
      </c>
      <c r="H13" s="19">
        <f>Conversions!H4</f>
        <v>102</v>
      </c>
      <c r="I13" s="19">
        <f>Conversions!I4</f>
        <v>119</v>
      </c>
      <c r="J13" s="19">
        <f>Conversions!J4</f>
        <v>136</v>
      </c>
      <c r="K13" s="19">
        <f>Conversions!K4</f>
        <v>153</v>
      </c>
      <c r="L13" s="19">
        <f>Conversions!L4</f>
        <v>170</v>
      </c>
      <c r="M13" s="19">
        <f>Conversions!M4</f>
        <v>187</v>
      </c>
      <c r="N13" s="19">
        <f>Conversions!N4</f>
        <v>204</v>
      </c>
      <c r="O13" s="19">
        <f>Conversions!O4</f>
        <v>221</v>
      </c>
      <c r="P13" s="19">
        <f>Conversions!P4</f>
        <v>238</v>
      </c>
      <c r="Q13" s="19">
        <f>Conversions!Q4</f>
        <v>255</v>
      </c>
      <c r="R13" s="19">
        <f>Conversions!R4</f>
        <v>272</v>
      </c>
      <c r="S13" s="19">
        <f>Conversions!S4</f>
        <v>289</v>
      </c>
      <c r="T13" s="19">
        <f>Conversions!T4</f>
        <v>306</v>
      </c>
      <c r="U13" s="19">
        <f>Conversions!U4</f>
        <v>323</v>
      </c>
      <c r="V13" s="19">
        <f>Conversions!V4</f>
        <v>340</v>
      </c>
      <c r="W13" s="19">
        <f>Conversions!W4</f>
        <v>357</v>
      </c>
      <c r="X13" s="19">
        <f>Conversions!X4</f>
        <v>374</v>
      </c>
      <c r="Y13" s="19">
        <f>Conversions!Y4</f>
        <v>391</v>
      </c>
      <c r="Z13" s="19">
        <f>Conversions!Z4</f>
        <v>408</v>
      </c>
    </row>
    <row r="14" spans="1:26" ht="18" customHeight="1">
      <c r="B14" s="20" t="str">
        <f>Conversions!B5</f>
        <v>P23-1</v>
      </c>
      <c r="C14" s="16">
        <f>Conversions!C5</f>
        <v>-0.39832635983263603</v>
      </c>
      <c r="D14" s="16">
        <f>Conversions!D5</f>
        <v>-3.0125523012552353E-2</v>
      </c>
      <c r="E14" s="16">
        <f>Conversions!E5</f>
        <v>0.12887029288702939</v>
      </c>
      <c r="F14" s="16">
        <f>Conversions!F5</f>
        <v>0.31297071129707116</v>
      </c>
      <c r="G14" s="16">
        <f>Conversions!G5</f>
        <v>0.45523012552301262</v>
      </c>
      <c r="H14" s="16">
        <f>Conversions!H5</f>
        <v>0.60585774058577424</v>
      </c>
      <c r="I14" s="16">
        <f>Conversions!I5</f>
        <v>0.71464435146443495</v>
      </c>
      <c r="J14" s="16">
        <f>Conversions!J5</f>
        <v>0.78995815899581578</v>
      </c>
      <c r="K14" s="16">
        <f>Conversions!K5</f>
        <v>0.90711297071129704</v>
      </c>
      <c r="L14" s="16">
        <f>Conversions!L5</f>
        <v>1.0075313807531381</v>
      </c>
      <c r="M14" s="16">
        <f>Conversions!M5</f>
        <v>1.1330543933054396</v>
      </c>
      <c r="N14" s="16">
        <f>Conversions!N5</f>
        <v>1.2334728033472806</v>
      </c>
      <c r="O14" s="16">
        <f>Conversions!O5</f>
        <v>1.3087866108786614</v>
      </c>
      <c r="P14" s="16">
        <f>Conversions!P5</f>
        <v>1.4510460251046025</v>
      </c>
      <c r="Q14" s="16">
        <f>Conversions!Q5</f>
        <v>1.6267782426778246</v>
      </c>
      <c r="R14" s="16">
        <f>Conversions!R5</f>
        <v>1.676987447698745</v>
      </c>
      <c r="S14" s="16">
        <f>Conversions!S5</f>
        <v>1.8276150627615066</v>
      </c>
      <c r="T14" s="16">
        <f>Conversions!T5</f>
        <v>1.8861924686192468</v>
      </c>
      <c r="U14" s="16">
        <f>Conversions!U5</f>
        <v>1.9698744769874477</v>
      </c>
      <c r="V14" s="16">
        <f>Conversions!V5</f>
        <v>2.1539748953974898</v>
      </c>
      <c r="W14" s="16">
        <f>Conversions!W5</f>
        <v>2.279497907949791</v>
      </c>
      <c r="X14" s="16">
        <f>Conversions!X5</f>
        <v>2.4468619246861927</v>
      </c>
      <c r="Y14" s="16">
        <f>Conversions!Y5</f>
        <v>2.6560669456066948</v>
      </c>
      <c r="Z14" s="16">
        <f>Conversions!Z5</f>
        <v>2.9656903765690377</v>
      </c>
    </row>
    <row r="15" spans="1:26" ht="18" customHeight="1">
      <c r="B15" s="20" t="str">
        <f>Conversions!B6</f>
        <v>P23-2</v>
      </c>
      <c r="C15" s="16">
        <f>Conversions!C6</f>
        <v>-0.38158995815899582</v>
      </c>
      <c r="D15" s="16">
        <f>Conversions!D6</f>
        <v>-9.7071129707112971E-2</v>
      </c>
      <c r="E15" s="16">
        <f>Conversions!E6</f>
        <v>7.8661087866108842E-2</v>
      </c>
      <c r="F15" s="16">
        <f>Conversions!F6</f>
        <v>0.22092050209205016</v>
      </c>
      <c r="G15" s="16">
        <f>Conversions!G6</f>
        <v>0.37154811715481179</v>
      </c>
      <c r="H15" s="16">
        <f>Conversions!H6</f>
        <v>0.47196652719665277</v>
      </c>
      <c r="I15" s="16">
        <f>Conversions!I6</f>
        <v>0.55564853556485372</v>
      </c>
      <c r="J15" s="16">
        <f>Conversions!J6</f>
        <v>0.60585774058577424</v>
      </c>
      <c r="K15" s="16">
        <f>Conversions!K6</f>
        <v>0.71464435146443495</v>
      </c>
      <c r="L15" s="16">
        <f>Conversions!L6</f>
        <v>0.79832635983263589</v>
      </c>
      <c r="M15" s="16">
        <f>Conversions!M6</f>
        <v>0.92384937238493725</v>
      </c>
      <c r="N15" s="16">
        <f>Conversions!N6</f>
        <v>1.0410041841004185</v>
      </c>
      <c r="O15" s="16">
        <f>Conversions!O6</f>
        <v>1.2251046025104606</v>
      </c>
      <c r="P15" s="16">
        <f>Conversions!P6</f>
        <v>1.3255230125523012</v>
      </c>
      <c r="Q15" s="16">
        <f>Conversions!Q6</f>
        <v>1.400836820083682</v>
      </c>
      <c r="R15" s="16">
        <f>Conversions!R6</f>
        <v>1.5012552301255231</v>
      </c>
      <c r="S15" s="16">
        <f>Conversions!S6</f>
        <v>1.6435146443514648</v>
      </c>
      <c r="T15" s="16">
        <f>Conversions!T6</f>
        <v>1.7523012552301258</v>
      </c>
      <c r="U15" s="16">
        <f>Conversions!U6</f>
        <v>1.7941422594142262</v>
      </c>
      <c r="V15" s="16">
        <f>Conversions!V6</f>
        <v>1.9615062761506277</v>
      </c>
      <c r="W15" s="16">
        <f>Conversions!W6</f>
        <v>2.1790794979079502</v>
      </c>
      <c r="X15" s="16">
        <f>Conversions!X6</f>
        <v>2.3631799163179914</v>
      </c>
      <c r="Y15" s="16">
        <f>Conversions!Y6</f>
        <v>2.5891213389121339</v>
      </c>
      <c r="Z15" s="16">
        <f>Conversions!Z6</f>
        <v>3.0326359832635985</v>
      </c>
    </row>
    <row r="16" spans="1:26" ht="18" customHeight="1">
      <c r="B16" s="20" t="str">
        <f>Conversions!B7</f>
        <v>P23-3</v>
      </c>
      <c r="C16" s="16">
        <f>Conversions!C7</f>
        <v>-0.38995815899581593</v>
      </c>
      <c r="D16" s="16">
        <f>Conversions!D7</f>
        <v>-0.11380753138075315</v>
      </c>
      <c r="E16" s="16">
        <f>Conversions!E7</f>
        <v>0.14560669456066933</v>
      </c>
      <c r="F16" s="16">
        <f>Conversions!F7</f>
        <v>0.22928870292887024</v>
      </c>
      <c r="G16" s="16">
        <f>Conversions!G7</f>
        <v>0.36317991631799174</v>
      </c>
      <c r="H16" s="16">
        <f>Conversions!H7</f>
        <v>0.46359832635983267</v>
      </c>
      <c r="I16" s="16">
        <f>Conversions!I7</f>
        <v>0.53891213389121351</v>
      </c>
      <c r="J16" s="16">
        <f>Conversions!J7</f>
        <v>0.61422594142259435</v>
      </c>
      <c r="K16" s="16">
        <f>Conversions!K7</f>
        <v>0.73974895397489526</v>
      </c>
      <c r="L16" s="16">
        <f>Conversions!L7</f>
        <v>0.806694560669456</v>
      </c>
      <c r="M16" s="16">
        <f>Conversions!M7</f>
        <v>0.92384937238493725</v>
      </c>
      <c r="N16" s="16">
        <f>Conversions!N7</f>
        <v>1.0410041841004185</v>
      </c>
      <c r="O16" s="16">
        <f>Conversions!O7</f>
        <v>1.1916317991631802</v>
      </c>
      <c r="P16" s="16">
        <f>Conversions!P7</f>
        <v>1.266945606694561</v>
      </c>
      <c r="Q16" s="16">
        <f>Conversions!Q7</f>
        <v>1.409205020920502</v>
      </c>
      <c r="R16" s="16">
        <f>Conversions!R7</f>
        <v>1.4928870292887031</v>
      </c>
      <c r="S16" s="16">
        <f>Conversions!S7</f>
        <v>1.5933054393305441</v>
      </c>
      <c r="T16" s="16">
        <f>Conversions!T7</f>
        <v>1.7188284518828454</v>
      </c>
      <c r="U16" s="16">
        <f>Conversions!U7</f>
        <v>1.777405857740586</v>
      </c>
      <c r="V16" s="16">
        <f>Conversions!V7</f>
        <v>1.9196652719665273</v>
      </c>
      <c r="W16" s="16">
        <f>Conversions!W7</f>
        <v>2.0619246861924689</v>
      </c>
      <c r="X16" s="16">
        <f>Conversions!X7</f>
        <v>2.2041841004184102</v>
      </c>
      <c r="Y16" s="16">
        <f>Conversions!Y7</f>
        <v>2.3715481171548118</v>
      </c>
      <c r="Z16" s="16">
        <f>Conversions!Z7</f>
        <v>2.8485355648535569</v>
      </c>
    </row>
    <row r="17" spans="1:26" ht="18" customHeight="1">
      <c r="B17" s="20" t="str">
        <f>Conversions!B8</f>
        <v>P23-4</v>
      </c>
      <c r="C17" s="16">
        <f>Conversions!C8</f>
        <v>-0.39832635983263603</v>
      </c>
      <c r="D17" s="16">
        <f>Conversions!D8</f>
        <v>-0.14728033472803351</v>
      </c>
      <c r="E17" s="16">
        <f>Conversions!E8</f>
        <v>5.355648535564856E-2</v>
      </c>
      <c r="F17" s="16">
        <f>Conversions!F8</f>
        <v>0.12887029288702939</v>
      </c>
      <c r="G17" s="16">
        <f>Conversions!G8</f>
        <v>0.19581589958158988</v>
      </c>
      <c r="H17" s="16">
        <f>Conversions!H8</f>
        <v>0.27112970711297069</v>
      </c>
      <c r="I17" s="16">
        <f>Conversions!I8</f>
        <v>0.35481171548117163</v>
      </c>
      <c r="J17" s="16">
        <f>Conversions!J8</f>
        <v>0.46359832635983267</v>
      </c>
      <c r="K17" s="16">
        <f>Conversions!K8</f>
        <v>0.49707112970711304</v>
      </c>
      <c r="L17" s="16">
        <f>Conversions!L8</f>
        <v>0.60585774058577424</v>
      </c>
      <c r="M17" s="16">
        <f>Conversions!M8</f>
        <v>0.68953974895397474</v>
      </c>
      <c r="N17" s="16">
        <f>Conversions!N8</f>
        <v>0.79832635983263589</v>
      </c>
      <c r="O17" s="16">
        <f>Conversions!O8</f>
        <v>0.94895397489539757</v>
      </c>
      <c r="P17" s="16">
        <f>Conversions!P8</f>
        <v>1.0326359832635985</v>
      </c>
      <c r="Q17" s="16">
        <f>Conversions!Q8</f>
        <v>1.1246861924686196</v>
      </c>
      <c r="R17" s="16">
        <f>Conversions!R8</f>
        <v>1.2083682008368204</v>
      </c>
      <c r="S17" s="16">
        <f>Conversions!S8</f>
        <v>1.3255230125523012</v>
      </c>
      <c r="T17" s="16">
        <f>Conversions!T8</f>
        <v>1.4677824267782427</v>
      </c>
      <c r="U17" s="16">
        <f>Conversions!U8</f>
        <v>1.5682008368200839</v>
      </c>
      <c r="V17" s="16">
        <f>Conversions!V8</f>
        <v>1.777405857740586</v>
      </c>
      <c r="W17" s="16">
        <f>Conversions!W8</f>
        <v>1.8443514644351464</v>
      </c>
      <c r="X17" s="16">
        <f>Conversions!X8</f>
        <v>1.894560669456067</v>
      </c>
      <c r="Y17" s="16">
        <f>Conversions!Y8</f>
        <v>2.1372384937238498</v>
      </c>
      <c r="Z17" s="16">
        <f>Conversions!Z8</f>
        <v>2.6476987447698748</v>
      </c>
    </row>
    <row r="18" spans="1:26" ht="18" customHeight="1"/>
    <row r="19" spans="1:26" ht="18" customHeight="1">
      <c r="A19" s="15" t="s">
        <v>45</v>
      </c>
    </row>
    <row r="20" spans="1:26" ht="18" customHeight="1">
      <c r="B20" s="19" t="s">
        <v>8</v>
      </c>
      <c r="C20" s="19">
        <f t="shared" ref="C20:X20" si="0">C13</f>
        <v>17</v>
      </c>
      <c r="D20" s="19">
        <f t="shared" si="0"/>
        <v>34</v>
      </c>
      <c r="E20" s="19">
        <f t="shared" si="0"/>
        <v>51</v>
      </c>
      <c r="F20" s="19">
        <f t="shared" si="0"/>
        <v>68</v>
      </c>
      <c r="G20" s="19">
        <f t="shared" si="0"/>
        <v>85</v>
      </c>
      <c r="H20" s="19">
        <f t="shared" si="0"/>
        <v>102</v>
      </c>
      <c r="I20" s="19">
        <f t="shared" si="0"/>
        <v>119</v>
      </c>
      <c r="J20" s="19">
        <f t="shared" si="0"/>
        <v>136</v>
      </c>
      <c r="K20" s="19">
        <f t="shared" si="0"/>
        <v>153</v>
      </c>
      <c r="L20" s="19">
        <f t="shared" si="0"/>
        <v>170</v>
      </c>
      <c r="M20" s="19">
        <f t="shared" si="0"/>
        <v>187</v>
      </c>
      <c r="N20" s="19">
        <f t="shared" si="0"/>
        <v>204</v>
      </c>
      <c r="O20" s="19">
        <f t="shared" si="0"/>
        <v>221</v>
      </c>
      <c r="P20" s="19">
        <f t="shared" si="0"/>
        <v>238</v>
      </c>
      <c r="Q20" s="19">
        <f t="shared" si="0"/>
        <v>255</v>
      </c>
      <c r="R20" s="19">
        <f t="shared" si="0"/>
        <v>272</v>
      </c>
      <c r="S20" s="19">
        <f t="shared" si="0"/>
        <v>289</v>
      </c>
      <c r="T20" s="19">
        <f t="shared" si="0"/>
        <v>306</v>
      </c>
      <c r="U20" s="19">
        <f t="shared" si="0"/>
        <v>323</v>
      </c>
      <c r="V20" s="19">
        <f t="shared" si="0"/>
        <v>340</v>
      </c>
      <c r="W20" s="19">
        <f t="shared" si="0"/>
        <v>357</v>
      </c>
      <c r="X20" s="19">
        <f t="shared" si="0"/>
        <v>374</v>
      </c>
      <c r="Y20" s="19">
        <f t="shared" ref="Y20:Z20" si="1">Y13</f>
        <v>391</v>
      </c>
      <c r="Z20" s="19">
        <f t="shared" si="1"/>
        <v>408</v>
      </c>
    </row>
    <row r="21" spans="1:26" ht="18" customHeight="1">
      <c r="B21" s="20" t="str">
        <f>B14</f>
        <v>P23-1</v>
      </c>
      <c r="C21" s="21">
        <f>C14*$B$5</f>
        <v>-7.3292050209205026</v>
      </c>
      <c r="D21" s="21">
        <f>D14*$B$5+$B$9*SUM($C14:C14)</f>
        <v>-0.65389121338912226</v>
      </c>
      <c r="E21" s="21">
        <f>E14*$B$5+$B$9*SUM($C14:D14)</f>
        <v>2.2641004184100435</v>
      </c>
      <c r="F21" s="21">
        <f>F14*$B$5+$B$9*SUM($C14:E14)</f>
        <v>5.6837656903765694</v>
      </c>
      <c r="G21" s="21">
        <f>G14*$B$5+$B$9*SUM($C14:F14)</f>
        <v>8.3795815899581587</v>
      </c>
      <c r="H21" s="21">
        <f>H14*$B$5+$B$9*SUM($C14:G14)</f>
        <v>11.264937238493728</v>
      </c>
      <c r="I21" s="21">
        <f>I14*$B$5+$B$9*SUM($C14:H14)</f>
        <v>13.418075313807526</v>
      </c>
      <c r="J21" s="21">
        <f>J14*$B$5+$B$9*SUM($C14:I14)</f>
        <v>14.982510460251042</v>
      </c>
      <c r="K21" s="21">
        <f>K14*$B$5+$B$9*SUM($C14:J14)</f>
        <v>17.335648535564854</v>
      </c>
      <c r="L21" s="21">
        <f>L14*$B$5+$B$9*SUM($C14:K14)</f>
        <v>19.410125523012553</v>
      </c>
      <c r="M21" s="21">
        <f>M14*$B$5+$B$9*SUM($C14:L14)</f>
        <v>21.971631799163184</v>
      </c>
      <c r="N21" s="21">
        <f>N14*$B$5+$B$9*SUM($C14:M14)</f>
        <v>24.10259414225942</v>
      </c>
      <c r="O21" s="21">
        <f>O14*$B$5+$B$9*SUM($C14:N14)</f>
        <v>25.796736401673648</v>
      </c>
      <c r="P21" s="21">
        <f>P14*$B$5+$B$9*SUM($C14:O14)</f>
        <v>28.741506276150623</v>
      </c>
      <c r="Q21" s="21">
        <f>Q14*$B$5+$B$9*SUM($C14:P14)</f>
        <v>32.337740585774057</v>
      </c>
      <c r="R21" s="21">
        <f>R14*$B$5+$B$9*SUM($C14:Q14)</f>
        <v>33.66828451882845</v>
      </c>
      <c r="S21" s="21">
        <f>S14*$B$5+$B$9*SUM($C14:R14)</f>
        <v>36.859079497907956</v>
      </c>
      <c r="T21" s="21">
        <f>T14*$B$5+$B$9*SUM($C14:S14)</f>
        <v>38.393807531380745</v>
      </c>
      <c r="U21" s="21">
        <f>U14*$B$5+$B$9*SUM($C14:T14)</f>
        <v>40.405104602510463</v>
      </c>
      <c r="V21" s="21">
        <f>V14*$B$5+$B$9*SUM($C14:U14)</f>
        <v>44.285020920502092</v>
      </c>
      <c r="W21" s="21">
        <f>W14*$B$5+$B$9*SUM($C14:V14)</f>
        <v>47.133138075313809</v>
      </c>
      <c r="X21" s="21">
        <f>X14*$B$5+$B$9*SUM($C14:W14)</f>
        <v>50.782510460251046</v>
      </c>
      <c r="Y21" s="21">
        <f>Y14*$B$5+$B$9*SUM($C14:X14)</f>
        <v>55.243598326359837</v>
      </c>
      <c r="Z21" s="21">
        <f>Z14*$B$5+$B$9*SUM($C14:Y14)</f>
        <v>61.604686192468613</v>
      </c>
    </row>
    <row r="22" spans="1:26" ht="18" customHeight="1">
      <c r="B22" s="20" t="str">
        <f t="shared" ref="B22:B24" si="2">B15</f>
        <v>P23-2</v>
      </c>
      <c r="C22" s="21">
        <f>C15*$B$6</f>
        <v>-7.6317991631799167</v>
      </c>
      <c r="D22" s="21">
        <f>D15*$B$6+$B$9*SUM($C15:C15)</f>
        <v>-2.0368200836820085</v>
      </c>
      <c r="E22" s="21">
        <f>E15*$B$6+$B$9*SUM($C15:D15)</f>
        <v>1.4535564853556495</v>
      </c>
      <c r="F22" s="21">
        <f>F15*$B$6+$B$9*SUM($C15:E15)</f>
        <v>4.3184100418410036</v>
      </c>
      <c r="G22" s="21">
        <f>G15*$B$6+$B$9*SUM($C15:F15)</f>
        <v>7.3861924686192486</v>
      </c>
      <c r="H22" s="21">
        <f>H15*$B$6+$B$9*SUM($C15:G15)</f>
        <v>9.48744769874477</v>
      </c>
      <c r="I22" s="21">
        <f>I15*$B$6+$B$9*SUM($C15:H15)</f>
        <v>11.279079497907953</v>
      </c>
      <c r="J22" s="21">
        <f>J15*$B$6+$B$9*SUM($C15:I15)</f>
        <v>12.422175732217577</v>
      </c>
      <c r="K22" s="21">
        <f>K15*$B$6+$B$9*SUM($C15:J15)</f>
        <v>14.749372384937235</v>
      </c>
      <c r="L22" s="21">
        <f>L15*$B$6+$B$9*SUM($C15:K15)</f>
        <v>16.601673640167363</v>
      </c>
      <c r="M22" s="21">
        <f>M15*$B$6+$B$9*SUM($C15:L15)</f>
        <v>19.31171548117155</v>
      </c>
      <c r="N22" s="21">
        <f>N15*$B$6+$B$9*SUM($C15:M15)</f>
        <v>21.885774058577407</v>
      </c>
      <c r="O22" s="21">
        <f>O15*$B$6+$B$9*SUM($C15:N15)</f>
        <v>25.828033472803355</v>
      </c>
      <c r="P22" s="21">
        <f>P15*$B$6+$B$9*SUM($C15:O15)</f>
        <v>28.142677824267782</v>
      </c>
      <c r="Q22" s="21">
        <f>Q15*$B$6+$B$9*SUM($C15:P15)</f>
        <v>29.980334728033473</v>
      </c>
      <c r="R22" s="21">
        <f>R15*$B$6+$B$9*SUM($C15:Q15)</f>
        <v>32.338912133891213</v>
      </c>
      <c r="S22" s="21">
        <f>S15*$B$6+$B$9*SUM($C15:R15)</f>
        <v>35.559414225941424</v>
      </c>
      <c r="T22" s="21">
        <f>T15*$B$6+$B$9*SUM($C15:S15)</f>
        <v>38.146025104602515</v>
      </c>
      <c r="U22" s="21">
        <f>U15*$B$6+$B$9*SUM($C15:T15)</f>
        <v>39.420920502092059</v>
      </c>
      <c r="V22" s="21">
        <f>V15*$B$6+$B$9*SUM($C15:U15)</f>
        <v>43.216736401673643</v>
      </c>
      <c r="W22" s="21">
        <f>W15*$B$6+$B$9*SUM($C15:V15)</f>
        <v>48.058577405857747</v>
      </c>
      <c r="X22" s="21">
        <f>X15*$B$6+$B$9*SUM($C15:W15)</f>
        <v>52.285355648535557</v>
      </c>
      <c r="Y22" s="21">
        <f>Y15*$B$6+$B$9*SUM($C15:X15)</f>
        <v>57.394979079497908</v>
      </c>
      <c r="Z22" s="21">
        <f>Z15*$B$6+$B$9*SUM($C15:Y15)</f>
        <v>66.912552301255232</v>
      </c>
    </row>
    <row r="23" spans="1:26" ht="18" customHeight="1">
      <c r="B23" s="20" t="str">
        <f t="shared" si="2"/>
        <v>P23-3</v>
      </c>
      <c r="C23" s="21">
        <f>C16*$B$7</f>
        <v>-7.7991631799163184</v>
      </c>
      <c r="D23" s="21">
        <f>D16*$B$7+$B$9*SUM($C16:C16)</f>
        <v>-2.3736401673640168</v>
      </c>
      <c r="E23" s="21">
        <f>E16*$B$7+$B$9*SUM($C16:D16)</f>
        <v>2.7861924686192441</v>
      </c>
      <c r="F23" s="21">
        <f>F16*$B$7+$B$9*SUM($C16:E16)</f>
        <v>4.4962343096234303</v>
      </c>
      <c r="G23" s="21">
        <f>G16*$B$7+$B$9*SUM($C16:F16)</f>
        <v>7.2313807531380778</v>
      </c>
      <c r="H23" s="21">
        <f>H16*$B$7+$B$9*SUM($C16:G16)</f>
        <v>9.3305439330543933</v>
      </c>
      <c r="I23" s="21">
        <f>I16*$B$7+$B$9*SUM($C16:H16)</f>
        <v>10.952719665271969</v>
      </c>
      <c r="J23" s="21">
        <f>J16*$B$7+$B$9*SUM($C16:I16)</f>
        <v>12.593723849372388</v>
      </c>
      <c r="K23" s="21">
        <f>K16*$B$7+$B$9*SUM($C16:J16)</f>
        <v>15.257740585774055</v>
      </c>
      <c r="L23" s="21">
        <f>L16*$B$7+$B$9*SUM($C16:K16)</f>
        <v>16.781589958158996</v>
      </c>
      <c r="M23" s="21">
        <f>M16*$B$7+$B$9*SUM($C16:L16)</f>
        <v>19.326359832635987</v>
      </c>
      <c r="N23" s="21">
        <f>N16*$B$7+$B$9*SUM($C16:M16)</f>
        <v>21.900418410041844</v>
      </c>
      <c r="O23" s="21">
        <f>O16*$B$7+$B$9*SUM($C16:N16)</f>
        <v>25.173221757322182</v>
      </c>
      <c r="P23" s="21">
        <f>P16*$B$7+$B$9*SUM($C16:O16)</f>
        <v>26.977405857740592</v>
      </c>
      <c r="Q23" s="21">
        <f>Q16*$B$7+$B$9*SUM($C16:P16)</f>
        <v>30.139330543933053</v>
      </c>
      <c r="R23" s="21">
        <f>R16*$B$7+$B$9*SUM($C16:Q16)</f>
        <v>32.1652719665272</v>
      </c>
      <c r="S23" s="21">
        <f>S16*$B$7+$B$9*SUM($C16:R16)</f>
        <v>34.546861924686198</v>
      </c>
      <c r="T23" s="21">
        <f>T16*$B$7+$B$9*SUM($C16:S16)</f>
        <v>37.455648535564855</v>
      </c>
      <c r="U23" s="21">
        <f>U16*$B$7+$B$9*SUM($C16:T16)</f>
        <v>39.056903765690379</v>
      </c>
      <c r="V23" s="21">
        <f>V16*$B$7+$B$9*SUM($C16:U16)</f>
        <v>42.346443514644356</v>
      </c>
      <c r="W23" s="21">
        <f>W16*$B$7+$B$9*SUM($C16:V16)</f>
        <v>45.671548117154821</v>
      </c>
      <c r="X23" s="21">
        <f>X16*$B$7+$B$9*SUM($C16:W16)</f>
        <v>49.032217573221757</v>
      </c>
      <c r="Y23" s="21">
        <f>Y16*$B$7+$B$9*SUM($C16:X16)</f>
        <v>52.930543933054402</v>
      </c>
      <c r="Z23" s="21">
        <f>Z16*$B$7+$B$9*SUM($C16:Y16)</f>
        <v>63.063179916317999</v>
      </c>
    </row>
    <row r="24" spans="1:26" ht="18" customHeight="1">
      <c r="B24" s="20" t="str">
        <f t="shared" si="2"/>
        <v>P23-4</v>
      </c>
      <c r="C24" s="21">
        <f>C17*$B$8</f>
        <v>-8.7631799163179931</v>
      </c>
      <c r="D24" s="21">
        <f>D17*$B$8+$B$9*SUM($C17:C17)</f>
        <v>-3.3397489539748961</v>
      </c>
      <c r="E24" s="21">
        <f>E17*$B$8+$B$9*SUM($C17:D17)</f>
        <v>1.0418410041841009</v>
      </c>
      <c r="F24" s="21">
        <f>F17*$B$8+$B$9*SUM($C17:E17)</f>
        <v>2.7121338912133917</v>
      </c>
      <c r="G24" s="21">
        <f>G17*$B$8+$B$9*SUM($C17:F17)</f>
        <v>4.2171548117154787</v>
      </c>
      <c r="H24" s="21">
        <f>H17*$B$8+$B$9*SUM($C17:G17)</f>
        <v>5.9230125523012545</v>
      </c>
      <c r="I24" s="21">
        <f>I17*$B$8+$B$9*SUM($C17:H17)</f>
        <v>7.8317991631799178</v>
      </c>
      <c r="J24" s="21">
        <f>J17*$B$8+$B$9*SUM($C17:I17)</f>
        <v>10.313807531380753</v>
      </c>
      <c r="K24" s="21">
        <f>K17*$B$8+$B$9*SUM($C17:J17)</f>
        <v>11.166108786610881</v>
      </c>
      <c r="L24" s="21">
        <f>L17*$B$8+$B$9*SUM($C17:K17)</f>
        <v>13.683682008368205</v>
      </c>
      <c r="M24" s="21">
        <f>M17*$B$8+$B$9*SUM($C17:L17)</f>
        <v>15.67615062761506</v>
      </c>
      <c r="N24" s="21">
        <f>N17*$B$8+$B$9*SUM($C17:M17)</f>
        <v>18.241841004184096</v>
      </c>
      <c r="O24" s="21">
        <f>O17*$B$8+$B$9*SUM($C17:N17)</f>
        <v>21.755230125523013</v>
      </c>
      <c r="P24" s="21">
        <f>P17*$B$8+$B$9*SUM($C17:O17)</f>
        <v>23.833472803347284</v>
      </c>
      <c r="Q24" s="21">
        <f>Q17*$B$8+$B$9*SUM($C17:P17)</f>
        <v>26.116736401673645</v>
      </c>
      <c r="R24" s="21">
        <f>R17*$B$8+$B$9*SUM($C17:Q17)</f>
        <v>28.238912133891219</v>
      </c>
      <c r="S24" s="21">
        <f>S17*$B$8+$B$9*SUM($C17:R17)</f>
        <v>31.118410041841003</v>
      </c>
      <c r="T24" s="21">
        <f>T17*$B$8+$B$9*SUM($C17:S17)</f>
        <v>34.579497907949794</v>
      </c>
      <c r="U24" s="21">
        <f>U17*$B$8+$B$9*SUM($C17:T17)</f>
        <v>37.155648535564858</v>
      </c>
      <c r="V24" s="21">
        <f>V17*$B$8+$B$9*SUM($C17:U17)</f>
        <v>42.150209205020928</v>
      </c>
      <c r="W24" s="21">
        <f>W17*$B$8+$B$9*SUM($C17:V17)</f>
        <v>44.067364016736398</v>
      </c>
      <c r="X24" s="21">
        <f>X17*$B$8+$B$9*SUM($C17:W17)</f>
        <v>45.633054393305436</v>
      </c>
      <c r="Y24" s="21">
        <f>Y17*$B$8+$B$9*SUM($C17:X17)</f>
        <v>51.445606694560674</v>
      </c>
      <c r="Z24" s="21">
        <f>Z17*$B$8+$B$9*SUM($C17:Y17)</f>
        <v>63.210041841004191</v>
      </c>
    </row>
    <row r="25" spans="1:26" ht="18" customHeight="1"/>
    <row r="26" spans="1:26" ht="18" customHeight="1">
      <c r="A26" s="15" t="s">
        <v>46</v>
      </c>
    </row>
    <row r="27" spans="1:26" ht="18" customHeight="1">
      <c r="B27" s="19" t="s">
        <v>8</v>
      </c>
      <c r="C27" s="19">
        <f t="shared" ref="C27:X27" si="3">C13</f>
        <v>17</v>
      </c>
      <c r="D27" s="19">
        <f t="shared" si="3"/>
        <v>34</v>
      </c>
      <c r="E27" s="19">
        <f t="shared" si="3"/>
        <v>51</v>
      </c>
      <c r="F27" s="19">
        <f t="shared" si="3"/>
        <v>68</v>
      </c>
      <c r="G27" s="19">
        <f t="shared" si="3"/>
        <v>85</v>
      </c>
      <c r="H27" s="19">
        <f t="shared" si="3"/>
        <v>102</v>
      </c>
      <c r="I27" s="19">
        <f t="shared" si="3"/>
        <v>119</v>
      </c>
      <c r="J27" s="19">
        <f t="shared" si="3"/>
        <v>136</v>
      </c>
      <c r="K27" s="19">
        <f t="shared" si="3"/>
        <v>153</v>
      </c>
      <c r="L27" s="19">
        <f t="shared" si="3"/>
        <v>170</v>
      </c>
      <c r="M27" s="19">
        <f t="shared" si="3"/>
        <v>187</v>
      </c>
      <c r="N27" s="19">
        <f t="shared" si="3"/>
        <v>204</v>
      </c>
      <c r="O27" s="19">
        <f t="shared" si="3"/>
        <v>221</v>
      </c>
      <c r="P27" s="19">
        <f t="shared" si="3"/>
        <v>238</v>
      </c>
      <c r="Q27" s="19">
        <f t="shared" si="3"/>
        <v>255</v>
      </c>
      <c r="R27" s="19">
        <f t="shared" si="3"/>
        <v>272</v>
      </c>
      <c r="S27" s="19">
        <f t="shared" si="3"/>
        <v>289</v>
      </c>
      <c r="T27" s="19">
        <f t="shared" si="3"/>
        <v>306</v>
      </c>
      <c r="U27" s="19">
        <f t="shared" si="3"/>
        <v>323</v>
      </c>
      <c r="V27" s="19">
        <f t="shared" si="3"/>
        <v>340</v>
      </c>
      <c r="W27" s="19">
        <f t="shared" si="3"/>
        <v>357</v>
      </c>
      <c r="X27" s="19">
        <f t="shared" si="3"/>
        <v>374</v>
      </c>
      <c r="Y27" s="19">
        <f t="shared" ref="Y27:Z27" si="4">Y13</f>
        <v>391</v>
      </c>
      <c r="Z27" s="19">
        <f t="shared" si="4"/>
        <v>408</v>
      </c>
    </row>
    <row r="28" spans="1:26" ht="18" customHeight="1">
      <c r="B28" s="20" t="str">
        <f>B21</f>
        <v>P23-1</v>
      </c>
      <c r="C28" s="22">
        <f>C21/$B$10*100</f>
        <v>-2.9316820083682011</v>
      </c>
      <c r="D28" s="22">
        <f t="shared" ref="D28:X28" si="5">D21/$B$10*100</f>
        <v>-0.2615564853556489</v>
      </c>
      <c r="E28" s="22">
        <f t="shared" si="5"/>
        <v>0.90564016736401731</v>
      </c>
      <c r="F28" s="22">
        <f t="shared" si="5"/>
        <v>2.2735062761506279</v>
      </c>
      <c r="G28" s="22">
        <f t="shared" si="5"/>
        <v>3.3518326359832638</v>
      </c>
      <c r="H28" s="22">
        <f t="shared" si="5"/>
        <v>4.5059748953974914</v>
      </c>
      <c r="I28" s="22">
        <f t="shared" si="5"/>
        <v>5.3672301255230099</v>
      </c>
      <c r="J28" s="22">
        <f t="shared" si="5"/>
        <v>5.9930041841004167</v>
      </c>
      <c r="K28" s="22">
        <f t="shared" si="5"/>
        <v>6.9342594142259424</v>
      </c>
      <c r="L28" s="22">
        <f t="shared" si="5"/>
        <v>7.7640502092050214</v>
      </c>
      <c r="M28" s="22">
        <f t="shared" si="5"/>
        <v>8.7886527196652739</v>
      </c>
      <c r="N28" s="22">
        <f t="shared" si="5"/>
        <v>9.6410376569037677</v>
      </c>
      <c r="O28" s="22">
        <f t="shared" si="5"/>
        <v>10.31869456066946</v>
      </c>
      <c r="P28" s="22">
        <f t="shared" si="5"/>
        <v>11.496602510460249</v>
      </c>
      <c r="Q28" s="22">
        <f t="shared" si="5"/>
        <v>12.935096234309624</v>
      </c>
      <c r="R28" s="22">
        <f t="shared" si="5"/>
        <v>13.467313807531381</v>
      </c>
      <c r="S28" s="22">
        <f t="shared" si="5"/>
        <v>14.743631799163182</v>
      </c>
      <c r="T28" s="22">
        <f t="shared" si="5"/>
        <v>15.357523012552299</v>
      </c>
      <c r="U28" s="22">
        <f t="shared" si="5"/>
        <v>16.162041841004186</v>
      </c>
      <c r="V28" s="22">
        <f t="shared" si="5"/>
        <v>17.714008368200837</v>
      </c>
      <c r="W28" s="22">
        <f t="shared" si="5"/>
        <v>18.853255230125523</v>
      </c>
      <c r="X28" s="22">
        <f t="shared" si="5"/>
        <v>20.313004184100418</v>
      </c>
      <c r="Y28" s="22">
        <f t="shared" ref="Y28:Z28" si="6">Y21/$B$10*100</f>
        <v>22.097439330543935</v>
      </c>
      <c r="Z28" s="22">
        <f t="shared" si="6"/>
        <v>24.641874476987443</v>
      </c>
    </row>
    <row r="29" spans="1:26" ht="18" customHeight="1">
      <c r="B29" s="20" t="str">
        <f t="shared" ref="B29:B31" si="7">B22</f>
        <v>P23-2</v>
      </c>
      <c r="C29" s="22">
        <f>C22/$B$10*100</f>
        <v>-3.0527196652719666</v>
      </c>
      <c r="D29" s="22">
        <f t="shared" ref="D29:X29" si="8">D22/$B$10*100</f>
        <v>-0.81472803347280331</v>
      </c>
      <c r="E29" s="22">
        <f t="shared" si="8"/>
        <v>0.58142259414225983</v>
      </c>
      <c r="F29" s="22">
        <f t="shared" si="8"/>
        <v>1.7273640167364015</v>
      </c>
      <c r="G29" s="22">
        <f t="shared" si="8"/>
        <v>2.9544769874476993</v>
      </c>
      <c r="H29" s="22">
        <f t="shared" si="8"/>
        <v>3.7949790794979079</v>
      </c>
      <c r="I29" s="22">
        <f t="shared" si="8"/>
        <v>4.5116317991631805</v>
      </c>
      <c r="J29" s="22">
        <f t="shared" si="8"/>
        <v>4.968870292887031</v>
      </c>
      <c r="K29" s="22">
        <f t="shared" si="8"/>
        <v>5.8997489539748944</v>
      </c>
      <c r="L29" s="22">
        <f t="shared" si="8"/>
        <v>6.6406694560669441</v>
      </c>
      <c r="M29" s="22">
        <f t="shared" si="8"/>
        <v>7.7246861924686199</v>
      </c>
      <c r="N29" s="22">
        <f t="shared" si="8"/>
        <v>8.754309623430963</v>
      </c>
      <c r="O29" s="22">
        <f t="shared" si="8"/>
        <v>10.331213389121343</v>
      </c>
      <c r="P29" s="22">
        <f t="shared" si="8"/>
        <v>11.257071129707112</v>
      </c>
      <c r="Q29" s="22">
        <f t="shared" si="8"/>
        <v>11.992133891213388</v>
      </c>
      <c r="R29" s="22">
        <f t="shared" si="8"/>
        <v>12.935564853556485</v>
      </c>
      <c r="S29" s="22">
        <f t="shared" si="8"/>
        <v>14.223765690376569</v>
      </c>
      <c r="T29" s="22">
        <f t="shared" si="8"/>
        <v>15.258410041841005</v>
      </c>
      <c r="U29" s="22">
        <f t="shared" si="8"/>
        <v>15.768368200836825</v>
      </c>
      <c r="V29" s="22">
        <f t="shared" si="8"/>
        <v>17.286694560669456</v>
      </c>
      <c r="W29" s="22">
        <f t="shared" si="8"/>
        <v>19.223430962343098</v>
      </c>
      <c r="X29" s="22">
        <f t="shared" si="8"/>
        <v>20.914142259414223</v>
      </c>
      <c r="Y29" s="22">
        <f t="shared" ref="Y29:Z29" si="9">Y22/$B$10*100</f>
        <v>22.957991631799164</v>
      </c>
      <c r="Z29" s="22">
        <f t="shared" si="9"/>
        <v>26.765020920502092</v>
      </c>
    </row>
    <row r="30" spans="1:26" ht="18" customHeight="1">
      <c r="B30" s="20" t="str">
        <f t="shared" si="7"/>
        <v>P23-3</v>
      </c>
      <c r="C30" s="22">
        <f t="shared" ref="C30:X30" si="10">C23/$B$10*100</f>
        <v>-3.1196652719665274</v>
      </c>
      <c r="D30" s="22">
        <f t="shared" si="10"/>
        <v>-0.9494560669456068</v>
      </c>
      <c r="E30" s="22">
        <f t="shared" si="10"/>
        <v>1.1144769874476976</v>
      </c>
      <c r="F30" s="22">
        <f t="shared" si="10"/>
        <v>1.7984937238493721</v>
      </c>
      <c r="G30" s="22">
        <f t="shared" si="10"/>
        <v>2.8925523012552312</v>
      </c>
      <c r="H30" s="22">
        <f t="shared" si="10"/>
        <v>3.7322175732217571</v>
      </c>
      <c r="I30" s="22">
        <f t="shared" si="10"/>
        <v>4.3810878661087873</v>
      </c>
      <c r="J30" s="22">
        <f t="shared" si="10"/>
        <v>5.0374895397489547</v>
      </c>
      <c r="K30" s="22">
        <f t="shared" si="10"/>
        <v>6.1030962343096222</v>
      </c>
      <c r="L30" s="22">
        <f t="shared" si="10"/>
        <v>6.7126359832635982</v>
      </c>
      <c r="M30" s="22">
        <f t="shared" si="10"/>
        <v>7.7305439330543946</v>
      </c>
      <c r="N30" s="22">
        <f t="shared" si="10"/>
        <v>8.7601673640167377</v>
      </c>
      <c r="O30" s="22">
        <f t="shared" si="10"/>
        <v>10.069288702928873</v>
      </c>
      <c r="P30" s="22">
        <f t="shared" si="10"/>
        <v>10.790962343096238</v>
      </c>
      <c r="Q30" s="22">
        <f t="shared" si="10"/>
        <v>12.055732217573221</v>
      </c>
      <c r="R30" s="22">
        <f t="shared" si="10"/>
        <v>12.86610878661088</v>
      </c>
      <c r="S30" s="22">
        <f t="shared" si="10"/>
        <v>13.818744769874481</v>
      </c>
      <c r="T30" s="22">
        <f t="shared" si="10"/>
        <v>14.982259414225943</v>
      </c>
      <c r="U30" s="22">
        <f t="shared" si="10"/>
        <v>15.62276150627615</v>
      </c>
      <c r="V30" s="22">
        <f t="shared" si="10"/>
        <v>16.938577405857743</v>
      </c>
      <c r="W30" s="22">
        <f t="shared" si="10"/>
        <v>18.268619246861928</v>
      </c>
      <c r="X30" s="22">
        <f t="shared" si="10"/>
        <v>19.612887029288704</v>
      </c>
      <c r="Y30" s="22">
        <f t="shared" ref="Y30:Z30" si="11">Y23/$B$10*100</f>
        <v>21.172217573221761</v>
      </c>
      <c r="Z30" s="22">
        <f t="shared" si="11"/>
        <v>25.225271966527202</v>
      </c>
    </row>
    <row r="31" spans="1:26" ht="18" customHeight="1">
      <c r="B31" s="20" t="str">
        <f t="shared" si="7"/>
        <v>P23-4</v>
      </c>
      <c r="C31" s="22">
        <f t="shared" ref="C31:X31" si="12">C24/$B$10*100</f>
        <v>-3.5052719665271974</v>
      </c>
      <c r="D31" s="22">
        <f t="shared" si="12"/>
        <v>-1.3358995815899584</v>
      </c>
      <c r="E31" s="22">
        <f t="shared" si="12"/>
        <v>0.41673640167364034</v>
      </c>
      <c r="F31" s="22">
        <f t="shared" si="12"/>
        <v>1.0848535564853565</v>
      </c>
      <c r="G31" s="22">
        <f t="shared" si="12"/>
        <v>1.6868619246861913</v>
      </c>
      <c r="H31" s="22">
        <f t="shared" si="12"/>
        <v>2.3692050209205018</v>
      </c>
      <c r="I31" s="22">
        <f t="shared" si="12"/>
        <v>3.1327196652719671</v>
      </c>
      <c r="J31" s="22">
        <f t="shared" si="12"/>
        <v>4.1255230125523017</v>
      </c>
      <c r="K31" s="22">
        <f t="shared" si="12"/>
        <v>4.4664435146443529</v>
      </c>
      <c r="L31" s="22">
        <f t="shared" si="12"/>
        <v>5.4734728033472821</v>
      </c>
      <c r="M31" s="22">
        <f t="shared" si="12"/>
        <v>6.2704602510460239</v>
      </c>
      <c r="N31" s="22">
        <f t="shared" si="12"/>
        <v>7.2967364016736385</v>
      </c>
      <c r="O31" s="22">
        <f t="shared" si="12"/>
        <v>8.7020920502092043</v>
      </c>
      <c r="P31" s="22">
        <f t="shared" si="12"/>
        <v>9.5333891213389137</v>
      </c>
      <c r="Q31" s="22">
        <f t="shared" si="12"/>
        <v>10.446694560669458</v>
      </c>
      <c r="R31" s="22">
        <f t="shared" si="12"/>
        <v>11.295564853556488</v>
      </c>
      <c r="S31" s="22">
        <f t="shared" si="12"/>
        <v>12.447364016736401</v>
      </c>
      <c r="T31" s="22">
        <f t="shared" si="12"/>
        <v>13.831799163179918</v>
      </c>
      <c r="U31" s="22">
        <f t="shared" si="12"/>
        <v>14.862259414225942</v>
      </c>
      <c r="V31" s="22">
        <f t="shared" si="12"/>
        <v>16.860083682008373</v>
      </c>
      <c r="W31" s="22">
        <f t="shared" si="12"/>
        <v>17.626945606694562</v>
      </c>
      <c r="X31" s="22">
        <f t="shared" si="12"/>
        <v>18.253221757322173</v>
      </c>
      <c r="Y31" s="22">
        <f t="shared" ref="Y31:Z31" si="13">Y24/$B$10*100</f>
        <v>20.578242677824267</v>
      </c>
      <c r="Z31" s="22">
        <f t="shared" si="13"/>
        <v>25.284016736401675</v>
      </c>
    </row>
    <row r="32" spans="1:26" ht="18" customHeight="1"/>
    <row r="33" spans="1:26" ht="18" customHeight="1">
      <c r="A33" s="23" t="s">
        <v>51</v>
      </c>
      <c r="B33" s="23" t="s">
        <v>29</v>
      </c>
      <c r="C33" s="22">
        <f>AVERAGE(C28:C31)</f>
        <v>-3.1523347280334733</v>
      </c>
      <c r="D33" s="22">
        <f t="shared" ref="C33:X33" si="14">AVERAGE(D28:D31)</f>
        <v>-0.84041004184100432</v>
      </c>
      <c r="E33" s="22">
        <f>AVERAGE(E28:E31)</f>
        <v>0.75456903765690375</v>
      </c>
      <c r="F33" s="22">
        <f t="shared" si="14"/>
        <v>1.7210543933054394</v>
      </c>
      <c r="G33" s="22">
        <f t="shared" si="14"/>
        <v>2.7214309623430961</v>
      </c>
      <c r="H33" s="22">
        <f t="shared" si="14"/>
        <v>3.6005941422594145</v>
      </c>
      <c r="I33" s="22">
        <f t="shared" si="14"/>
        <v>4.3481673640167369</v>
      </c>
      <c r="J33" s="22">
        <f t="shared" si="14"/>
        <v>5.0312217573221751</v>
      </c>
      <c r="K33" s="22">
        <f t="shared" si="14"/>
        <v>5.8508870292887032</v>
      </c>
      <c r="L33" s="22">
        <f t="shared" si="14"/>
        <v>6.6477071129707115</v>
      </c>
      <c r="M33" s="22">
        <f t="shared" si="14"/>
        <v>7.6285857740585783</v>
      </c>
      <c r="N33" s="22">
        <f t="shared" si="14"/>
        <v>8.6130627615062778</v>
      </c>
      <c r="O33" s="22">
        <f t="shared" si="14"/>
        <v>9.8553221757322191</v>
      </c>
      <c r="P33" s="22">
        <f t="shared" si="14"/>
        <v>10.769506276150629</v>
      </c>
      <c r="Q33" s="22">
        <f t="shared" si="14"/>
        <v>11.857414225941422</v>
      </c>
      <c r="R33" s="22">
        <f t="shared" si="14"/>
        <v>12.641138075313808</v>
      </c>
      <c r="S33" s="22">
        <f t="shared" si="14"/>
        <v>13.808376569037659</v>
      </c>
      <c r="T33" s="22">
        <f t="shared" si="14"/>
        <v>14.85749790794979</v>
      </c>
      <c r="U33" s="22">
        <f t="shared" si="14"/>
        <v>15.603857740585777</v>
      </c>
      <c r="V33" s="22">
        <f t="shared" si="14"/>
        <v>17.199841004184101</v>
      </c>
      <c r="W33" s="22">
        <f t="shared" si="14"/>
        <v>18.493062761506277</v>
      </c>
      <c r="X33" s="22">
        <f t="shared" si="14"/>
        <v>19.77331380753138</v>
      </c>
      <c r="Y33" s="22">
        <f t="shared" ref="Y33:Z33" si="15">AVERAGE(Y28:Y31)</f>
        <v>21.701472803347279</v>
      </c>
      <c r="Z33" s="22">
        <f t="shared" si="15"/>
        <v>25.479046025104601</v>
      </c>
    </row>
    <row r="34" spans="1:26" ht="18" customHeight="1">
      <c r="B34" s="23" t="s">
        <v>47</v>
      </c>
      <c r="C34" s="22">
        <f t="shared" ref="C34:X34" si="16">STDEV(C28:C31)</f>
        <v>0.24781900054942391</v>
      </c>
      <c r="D34" s="22">
        <f t="shared" si="16"/>
        <v>0.44464664810060617</v>
      </c>
      <c r="E34" s="22">
        <f>STDEV(E28:E31)</f>
        <v>0.31436009044340946</v>
      </c>
      <c r="F34" s="22">
        <f t="shared" si="16"/>
        <v>0.48853224011410085</v>
      </c>
      <c r="G34" s="22">
        <f t="shared" si="16"/>
        <v>0.71910414782440824</v>
      </c>
      <c r="H34" s="22">
        <f t="shared" si="16"/>
        <v>0.89277539312494547</v>
      </c>
      <c r="I34" s="22">
        <f t="shared" si="16"/>
        <v>0.92079791508750197</v>
      </c>
      <c r="J34" s="22">
        <f t="shared" si="16"/>
        <v>0.76359732908362998</v>
      </c>
      <c r="K34" s="22">
        <f t="shared" si="16"/>
        <v>1.0257316966385035</v>
      </c>
      <c r="L34" s="22">
        <f t="shared" si="16"/>
        <v>0.93618256930633081</v>
      </c>
      <c r="M34" s="22">
        <f t="shared" si="16"/>
        <v>1.0343904825470565</v>
      </c>
      <c r="N34" s="22">
        <f t="shared" si="16"/>
        <v>0.97143157440296313</v>
      </c>
      <c r="O34" s="22">
        <f t="shared" si="16"/>
        <v>0.77822614778264032</v>
      </c>
      <c r="P34" s="22">
        <f t="shared" si="16"/>
        <v>0.87461122860376661</v>
      </c>
      <c r="Q34" s="22">
        <f t="shared" si="16"/>
        <v>1.0342481809123352</v>
      </c>
      <c r="R34" s="22">
        <f t="shared" si="16"/>
        <v>0.93638179255819387</v>
      </c>
      <c r="S34" s="22">
        <f t="shared" si="16"/>
        <v>0.9831434508273339</v>
      </c>
      <c r="T34" s="22">
        <f t="shared" si="16"/>
        <v>0.70199216349014981</v>
      </c>
      <c r="U34" s="22">
        <f t="shared" si="16"/>
        <v>0.54435240163852938</v>
      </c>
      <c r="V34" s="22">
        <f t="shared" si="16"/>
        <v>0.38970301695715742</v>
      </c>
      <c r="W34" s="22">
        <f t="shared" si="16"/>
        <v>0.69850080896366662</v>
      </c>
      <c r="X34" s="22">
        <f t="shared" si="16"/>
        <v>1.1444317150844185</v>
      </c>
      <c r="Y34" s="22">
        <f t="shared" ref="Y34:Z34" si="17">STDEV(Y28:Y31)</f>
        <v>1.0452090812228165</v>
      </c>
      <c r="Z34" s="22">
        <f t="shared" si="17"/>
        <v>0.90499085240833266</v>
      </c>
    </row>
    <row r="35" spans="1:26" ht="18" customHeight="1">
      <c r="B35" s="23" t="s">
        <v>48</v>
      </c>
      <c r="C35" s="22">
        <f t="shared" ref="C35:X35" si="18">IFERROR(C34/C33*100,"")</f>
        <v>-7.8614430867886069</v>
      </c>
      <c r="D35" s="22">
        <f t="shared" si="18"/>
        <v>-52.908297850244878</v>
      </c>
      <c r="E35" s="22">
        <f t="shared" si="18"/>
        <v>41.660878561829669</v>
      </c>
      <c r="F35" s="22">
        <f t="shared" si="18"/>
        <v>28.385636271252928</v>
      </c>
      <c r="G35" s="22">
        <f t="shared" si="18"/>
        <v>26.423751246119227</v>
      </c>
      <c r="H35" s="22">
        <f t="shared" si="18"/>
        <v>24.795224283865512</v>
      </c>
      <c r="I35" s="22">
        <f t="shared" si="18"/>
        <v>21.176689809770572</v>
      </c>
      <c r="J35" s="22">
        <f t="shared" si="18"/>
        <v>15.17717496694179</v>
      </c>
      <c r="K35" s="22">
        <f t="shared" si="18"/>
        <v>17.531216916406649</v>
      </c>
      <c r="L35" s="22">
        <f t="shared" si="18"/>
        <v>14.082789048869088</v>
      </c>
      <c r="M35" s="22">
        <f t="shared" si="18"/>
        <v>13.559400302799999</v>
      </c>
      <c r="N35" s="22">
        <f t="shared" si="18"/>
        <v>11.278584648709518</v>
      </c>
      <c r="O35" s="22">
        <f t="shared" si="18"/>
        <v>7.8965064145639721</v>
      </c>
      <c r="P35" s="22">
        <f t="shared" si="18"/>
        <v>8.12118221743013</v>
      </c>
      <c r="Q35" s="22">
        <f t="shared" si="18"/>
        <v>8.7223753948784797</v>
      </c>
      <c r="R35" s="22">
        <f t="shared" si="18"/>
        <v>7.407416855819358</v>
      </c>
      <c r="S35" s="22">
        <f t="shared" si="18"/>
        <v>7.1199061374950006</v>
      </c>
      <c r="T35" s="22">
        <f t="shared" si="18"/>
        <v>4.7248343418210093</v>
      </c>
      <c r="U35" s="22">
        <f t="shared" si="18"/>
        <v>3.4885757784285856</v>
      </c>
      <c r="V35" s="22">
        <f t="shared" si="18"/>
        <v>2.2657361592026155</v>
      </c>
      <c r="W35" s="22">
        <f t="shared" si="18"/>
        <v>3.7770964062135324</v>
      </c>
      <c r="X35" s="22">
        <f t="shared" si="18"/>
        <v>5.7877588259815127</v>
      </c>
      <c r="Y35" s="22">
        <f t="shared" ref="Y35:Z35" si="19">IFERROR(Y34/Y33*100,"")</f>
        <v>4.8163048226920404</v>
      </c>
      <c r="Z35" s="22">
        <f t="shared" si="19"/>
        <v>3.5519024201951743</v>
      </c>
    </row>
    <row r="37" spans="1:26" ht="35" customHeight="1">
      <c r="A37" s="23" t="s">
        <v>50</v>
      </c>
      <c r="B37" s="32" t="s">
        <v>49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</sheetData>
  <mergeCells count="5">
    <mergeCell ref="A2:X2"/>
    <mergeCell ref="E10:X10"/>
    <mergeCell ref="E9:X9"/>
    <mergeCell ref="A1:X1"/>
    <mergeCell ref="B37:X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Info</vt:lpstr>
      <vt:lpstr>Correction Blank</vt:lpstr>
      <vt:lpstr>Conversions</vt:lpstr>
      <vt:lpstr>Cumulative Release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Acceleration Consortium</dc:creator>
  <cp:lastModifiedBy>Frantz Le Devedec</cp:lastModifiedBy>
  <dcterms:created xsi:type="dcterms:W3CDTF">2026-07-30T20:50:40Z</dcterms:created>
  <dcterms:modified xsi:type="dcterms:W3CDTF">2026-09-28T15:37:30Z</dcterms:modified>
</cp:coreProperties>
</file>